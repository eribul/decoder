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4526"/>
  <workbookPr codeName="ThisWorkbook" hidePivotFieldList="1" autoCompressPictures="0"/>
  <bookViews>
    <workbookView xWindow="-20" yWindow="0" windowWidth="50540" windowHeight="28400" tabRatio="659"/>
  </bookViews>
  <sheets>
    <sheet name="Organisation" sheetId="15" r:id="rId1"/>
    <sheet name="Antal invånare" sheetId="26" r:id="rId2"/>
    <sheet name="Blad1" sheetId="25" r:id="rId3"/>
  </sheets>
  <definedNames>
    <definedName name="_xlnm.Print_Area" localSheetId="0">Organisation!$A$4:$G$63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25" l="1"/>
  <c r="E39" i="26"/>
  <c r="F28" i="25"/>
  <c r="E40" i="26"/>
  <c r="F29" i="25"/>
  <c r="E41" i="26"/>
  <c r="F30" i="25"/>
  <c r="E42" i="26"/>
  <c r="F59" i="25"/>
  <c r="E43" i="26"/>
  <c r="F60" i="25"/>
  <c r="E44" i="26"/>
  <c r="F61" i="25"/>
  <c r="E45" i="26"/>
  <c r="F62" i="25"/>
  <c r="E46" i="26"/>
  <c r="F63" i="25"/>
  <c r="E47" i="26"/>
  <c r="F64" i="25"/>
  <c r="E48" i="26"/>
  <c r="H28" i="25"/>
  <c r="H60" i="25"/>
  <c r="H63" i="25"/>
  <c r="H66" i="25"/>
  <c r="I28" i="25"/>
  <c r="F65" i="25"/>
  <c r="J28" i="25"/>
  <c r="I60" i="25"/>
  <c r="J60" i="25"/>
  <c r="I63" i="25"/>
  <c r="J63" i="25"/>
  <c r="J66" i="25"/>
  <c r="G39" i="26"/>
  <c r="F7" i="25"/>
  <c r="E6" i="26"/>
  <c r="F8" i="25"/>
  <c r="E7" i="26"/>
  <c r="F9" i="25"/>
  <c r="E8" i="26"/>
  <c r="F10" i="25"/>
  <c r="E9" i="26"/>
  <c r="F11" i="25"/>
  <c r="E10" i="26"/>
  <c r="F12" i="25"/>
  <c r="E11" i="26"/>
  <c r="F13" i="25"/>
  <c r="E12" i="26"/>
  <c r="F14" i="25"/>
  <c r="E13" i="26"/>
  <c r="F15" i="25"/>
  <c r="E14" i="26"/>
  <c r="F16" i="25"/>
  <c r="E15" i="26"/>
  <c r="F17" i="25"/>
  <c r="E16" i="26"/>
  <c r="F18" i="25"/>
  <c r="E17" i="26"/>
  <c r="F19" i="25"/>
  <c r="E18" i="26"/>
  <c r="F20" i="25"/>
  <c r="E19" i="26"/>
  <c r="F21" i="25"/>
  <c r="E20" i="26"/>
  <c r="F22" i="25"/>
  <c r="E21" i="26"/>
  <c r="F23" i="25"/>
  <c r="E22" i="26"/>
  <c r="F24" i="25"/>
  <c r="E23" i="26"/>
  <c r="F25" i="25"/>
  <c r="E24" i="26"/>
  <c r="F26" i="25"/>
  <c r="E25" i="26"/>
  <c r="F35" i="25"/>
  <c r="E26" i="26"/>
  <c r="F36" i="25"/>
  <c r="E27" i="26"/>
  <c r="F37" i="25"/>
  <c r="E28" i="26"/>
  <c r="F33" i="25"/>
  <c r="E29" i="26"/>
  <c r="F31" i="25"/>
  <c r="E30" i="26"/>
  <c r="F32" i="25"/>
  <c r="E31" i="26"/>
  <c r="F34" i="25"/>
  <c r="E32" i="26"/>
  <c r="F38" i="25"/>
  <c r="E33" i="26"/>
  <c r="F39" i="25"/>
  <c r="E34" i="26"/>
  <c r="F40" i="25"/>
  <c r="E35" i="26"/>
  <c r="F41" i="25"/>
  <c r="E36" i="26"/>
  <c r="F42" i="25"/>
  <c r="E37" i="26"/>
  <c r="F43" i="25"/>
  <c r="E38" i="26"/>
  <c r="F44" i="25"/>
  <c r="E49" i="26"/>
  <c r="F45" i="25"/>
  <c r="E50" i="26"/>
  <c r="F46" i="25"/>
  <c r="E51" i="26"/>
  <c r="F47" i="25"/>
  <c r="E52" i="26"/>
  <c r="F48" i="25"/>
  <c r="E53" i="26"/>
  <c r="F49" i="25"/>
  <c r="E54" i="26"/>
  <c r="F50" i="25"/>
  <c r="E55" i="26"/>
  <c r="F51" i="25"/>
  <c r="E56" i="26"/>
  <c r="F52" i="25"/>
  <c r="E57" i="26"/>
  <c r="F53" i="25"/>
  <c r="E58" i="26"/>
  <c r="F54" i="25"/>
  <c r="E59" i="26"/>
  <c r="F55" i="25"/>
  <c r="E60" i="26"/>
  <c r="F56" i="25"/>
  <c r="E61" i="26"/>
  <c r="F57" i="25"/>
  <c r="E62" i="26"/>
  <c r="F58" i="25"/>
  <c r="E63" i="26"/>
  <c r="E64" i="26"/>
  <c r="E65" i="26"/>
  <c r="G49" i="26"/>
  <c r="G31" i="26"/>
  <c r="G20" i="26"/>
  <c r="G6" i="26"/>
  <c r="C56" i="26"/>
  <c r="C49" i="26"/>
  <c r="C43" i="26"/>
  <c r="C39" i="26"/>
  <c r="C29" i="26"/>
  <c r="C26" i="26"/>
  <c r="C21" i="26"/>
  <c r="C17" i="26"/>
  <c r="C12" i="26"/>
  <c r="C6" i="26"/>
  <c r="E66" i="25"/>
  <c r="D66" i="25"/>
  <c r="K55" i="25"/>
  <c r="K47" i="25"/>
  <c r="K40" i="25"/>
  <c r="K36" i="25"/>
  <c r="K32" i="25"/>
  <c r="K24" i="25"/>
  <c r="K19" i="25"/>
  <c r="K15" i="25"/>
  <c r="F66" i="25"/>
  <c r="C46" i="26"/>
  <c r="C33" i="26"/>
  <c r="C65" i="26"/>
  <c r="G65" i="26"/>
  <c r="K60" i="25"/>
  <c r="K63" i="25"/>
  <c r="K9" i="25"/>
  <c r="I66" i="25"/>
  <c r="K28" i="25"/>
  <c r="K66" i="25"/>
  <c r="K68" i="25"/>
</calcChain>
</file>

<file path=xl/sharedStrings.xml><?xml version="1.0" encoding="utf-8"?>
<sst xmlns="http://schemas.openxmlformats.org/spreadsheetml/2006/main" count="349" uniqueCount="111">
  <si>
    <t>Centrum</t>
  </si>
  <si>
    <t>Lundby</t>
  </si>
  <si>
    <t>Härryda</t>
  </si>
  <si>
    <t>Partille</t>
  </si>
  <si>
    <t>Öckerö</t>
  </si>
  <si>
    <t>Stenungsund</t>
  </si>
  <si>
    <t>Orust</t>
  </si>
  <si>
    <t>Sotenäs</t>
  </si>
  <si>
    <t>Munkedal</t>
  </si>
  <si>
    <t>Tanum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</si>
  <si>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</si>
  <si>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</si>
  <si>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</si>
  <si>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</si>
  <si>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</si>
  <si>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</si>
  <si>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</si>
  <si>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</si>
  <si>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</si>
  <si>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</si>
  <si>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</si>
  <si>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</si>
  <si>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</si>
  <si>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Lilla Edet</t>
  </si>
  <si>
    <t>Mark</t>
  </si>
  <si>
    <t>Svenljunga</t>
  </si>
  <si>
    <t>Herrljunga</t>
  </si>
  <si>
    <t>Vara</t>
  </si>
  <si>
    <t>Götene</t>
  </si>
  <si>
    <t>Tibro</t>
  </si>
  <si>
    <t>Töreboda</t>
  </si>
  <si>
    <t>Mölndal</t>
  </si>
  <si>
    <t>Kungälv</t>
  </si>
  <si>
    <t>Lysekil</t>
  </si>
  <si>
    <t>Uddevalla</t>
  </si>
  <si>
    <t>Strömstad</t>
  </si>
  <si>
    <t>Vänersborg</t>
  </si>
  <si>
    <t>Trollhättan</t>
  </si>
  <si>
    <t>Alingsås</t>
  </si>
  <si>
    <t>Borås</t>
  </si>
  <si>
    <t>Ulricehamn</t>
  </si>
  <si>
    <t>Åmål</t>
  </si>
  <si>
    <t>Mariestad</t>
  </si>
  <si>
    <t>Lidköping</t>
  </si>
  <si>
    <t>Skara</t>
  </si>
  <si>
    <t>Skövde</t>
  </si>
  <si>
    <t>Hjo</t>
  </si>
  <si>
    <t>Tidaholm</t>
  </si>
  <si>
    <t>Falköping</t>
  </si>
  <si>
    <t>Totalt</t>
  </si>
  <si>
    <t xml:space="preserve"> </t>
  </si>
  <si>
    <t>HSNKOD</t>
  </si>
  <si>
    <t>Kvinnor</t>
  </si>
  <si>
    <t>Män</t>
  </si>
  <si>
    <t xml:space="preserve">       1</t>
  </si>
  <si>
    <t xml:space="preserve">       2</t>
  </si>
  <si>
    <t xml:space="preserve">       3</t>
  </si>
  <si>
    <t xml:space="preserve">       4</t>
  </si>
  <si>
    <t>Tjörn</t>
  </si>
  <si>
    <t xml:space="preserve">       5</t>
  </si>
  <si>
    <t xml:space="preserve">       6</t>
  </si>
  <si>
    <t xml:space="preserve">       7</t>
  </si>
  <si>
    <t xml:space="preserve">       8</t>
  </si>
  <si>
    <t xml:space="preserve">       9</t>
  </si>
  <si>
    <t xml:space="preserve">      10</t>
  </si>
  <si>
    <t xml:space="preserve">      11</t>
  </si>
  <si>
    <t xml:space="preserve">      12</t>
  </si>
  <si>
    <t xml:space="preserve">      60</t>
  </si>
  <si>
    <t>Ospec Gbg</t>
  </si>
  <si>
    <t>Kommun eller stadsdel</t>
  </si>
  <si>
    <t>HSNnamn</t>
  </si>
  <si>
    <t>Västra Götaland</t>
  </si>
  <si>
    <t>N Bohuslän</t>
  </si>
  <si>
    <t>Dalsland</t>
  </si>
  <si>
    <t>Trestad</t>
  </si>
  <si>
    <t>M Bohuslän</t>
  </si>
  <si>
    <t>Mittenälvsborg</t>
  </si>
  <si>
    <t>S Bohuslän</t>
  </si>
  <si>
    <t>Sjuhärad</t>
  </si>
  <si>
    <t>V Skaraborg</t>
  </si>
  <si>
    <t>Ö Skaraborg</t>
  </si>
  <si>
    <t>HSNkod</t>
  </si>
  <si>
    <t>Norra</t>
  </si>
  <si>
    <t>1999 - 2014</t>
  </si>
  <si>
    <t>2015 -</t>
  </si>
  <si>
    <t>?</t>
  </si>
  <si>
    <t>Västra</t>
  </si>
  <si>
    <t>Södra</t>
  </si>
  <si>
    <t>Östra</t>
  </si>
  <si>
    <t>Norra Hisingen</t>
  </si>
  <si>
    <t>Västra Hisingen</t>
  </si>
  <si>
    <t>Angered</t>
  </si>
  <si>
    <t>Örgryte-Härlanda</t>
  </si>
  <si>
    <t>Östra Göteborg</t>
  </si>
  <si>
    <t>Askim-Frölunda-Högsbo</t>
  </si>
  <si>
    <t>Majorna-Linné</t>
  </si>
  <si>
    <t>Västra Göteborg</t>
  </si>
  <si>
    <t>Göteborg</t>
  </si>
  <si>
    <t>Kommun / stadsdel</t>
  </si>
  <si>
    <t>Folkmängd 2013</t>
  </si>
  <si>
    <t>Totalt*</t>
  </si>
  <si>
    <t>* Total summan avser SCB befolkningstatistik. Antalet i Göteborgs kommun skiljer sig något mellan SCB och Västfolket. 2013 är skilladen 11 st (SCB 533 271 st, Västfolket 533 260 st). Dessa 11 är placerade i HSN 60 i tabellen ovan.</t>
  </si>
  <si>
    <r>
      <t xml:space="preserve">Göteborg, </t>
    </r>
    <r>
      <rPr>
        <sz val="9"/>
        <rFont val="Arial"/>
        <family val="2"/>
      </rPr>
      <t>Centrum-Väster</t>
    </r>
  </si>
  <si>
    <r>
      <t xml:space="preserve">Göteborg, </t>
    </r>
    <r>
      <rPr>
        <sz val="9"/>
        <rFont val="Arial"/>
        <family val="2"/>
      </rPr>
      <t>Hisingen</t>
    </r>
  </si>
  <si>
    <t>Organisation av HSN före och från och med 2015</t>
  </si>
  <si>
    <t>Antal invån</t>
  </si>
  <si>
    <t xml:space="preserve">Invånarantalet för stadsdelarna i Göteborg ska adderas med 1 620 personer </t>
  </si>
  <si>
    <t>Ospecat Göteborg</t>
  </si>
  <si>
    <t>Göteborg, Nordöstra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</si>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</sst>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k_r_-;\-* #,##0.00\ _k_r_-;_-* &quot;-&quot;??\ _k_r_-;_-@_-"/>
    <numFmt numFmtId="164" formatCode="_-* #,##0\ _k_r_-;\-* #,##0\ _k_r_-;_-* &quot;-&quot;??\ _k_r_-;_-@_-"/>
    <numFmt numFmtId="165" formatCode="#,##0.00000_ ;\-#,##0.00000\ "/>
    <numFmt numFmtId="166" formatCode="#,##0_ ;\-#,##0\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164" fontId="0" fillId="0" borderId="0" xfId="1" applyNumberFormat="1" applyFont="1" applyBorder="1"/>
    <xf numFmtId="164" fontId="2" fillId="0" borderId="4" xfId="1" applyNumberFormat="1" applyFont="1" applyBorder="1"/>
    <xf numFmtId="164" fontId="0" fillId="0" borderId="5" xfId="1" applyNumberFormat="1" applyFont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64" fontId="2" fillId="0" borderId="8" xfId="1" applyNumberFormat="1" applyFont="1" applyBorder="1"/>
    <xf numFmtId="0" fontId="2" fillId="0" borderId="9" xfId="0" applyFont="1" applyBorder="1"/>
    <xf numFmtId="0" fontId="0" fillId="0" borderId="10" xfId="0" applyBorder="1"/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5" xfId="0" applyFont="1" applyBorder="1"/>
    <xf numFmtId="0" fontId="0" fillId="0" borderId="16" xfId="0" applyBorder="1"/>
    <xf numFmtId="164" fontId="0" fillId="0" borderId="0" xfId="0" applyNumberFormat="1"/>
    <xf numFmtId="0" fontId="2" fillId="0" borderId="1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0" xfId="0" applyFont="1"/>
    <xf numFmtId="0" fontId="5" fillId="0" borderId="7" xfId="0" applyFont="1" applyBorder="1" applyAlignment="1"/>
    <xf numFmtId="0" fontId="5" fillId="0" borderId="0" xfId="0" applyFont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1" xfId="0" applyBorder="1"/>
    <xf numFmtId="0" fontId="0" fillId="0" borderId="22" xfId="0" applyBorder="1"/>
    <xf numFmtId="164" fontId="0" fillId="0" borderId="23" xfId="1" applyNumberFormat="1" applyFont="1" applyBorder="1"/>
    <xf numFmtId="164" fontId="2" fillId="0" borderId="24" xfId="1" applyNumberFormat="1" applyFont="1" applyBorder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7" fillId="0" borderId="7" xfId="0" applyFont="1" applyBorder="1" applyAlignment="1">
      <alignment horizontal="center"/>
    </xf>
    <xf numFmtId="3" fontId="0" fillId="0" borderId="18" xfId="0" applyNumberFormat="1" applyBorder="1" applyAlignment="1">
      <alignment horizontal="right"/>
    </xf>
    <xf numFmtId="0" fontId="2" fillId="0" borderId="25" xfId="0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27" xfId="0" applyFont="1" applyBorder="1"/>
    <xf numFmtId="0" fontId="4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2" xfId="0" applyBorder="1"/>
    <xf numFmtId="3" fontId="0" fillId="0" borderId="7" xfId="0" applyNumberFormat="1" applyBorder="1"/>
    <xf numFmtId="0" fontId="0" fillId="0" borderId="8" xfId="0" applyBorder="1"/>
    <xf numFmtId="3" fontId="0" fillId="0" borderId="31" xfId="0" applyNumberFormat="1" applyBorder="1"/>
    <xf numFmtId="3" fontId="0" fillId="0" borderId="18" xfId="0" applyNumberFormat="1" applyBorder="1"/>
    <xf numFmtId="164" fontId="4" fillId="0" borderId="18" xfId="1" applyNumberFormat="1" applyFont="1" applyBorder="1" applyAlignment="1">
      <alignment horizontal="center" vertical="center"/>
    </xf>
    <xf numFmtId="164" fontId="4" fillId="0" borderId="19" xfId="1" applyNumberFormat="1" applyFont="1" applyBorder="1" applyAlignment="1">
      <alignment horizontal="center" vertical="center"/>
    </xf>
    <xf numFmtId="164" fontId="4" fillId="0" borderId="20" xfId="1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4" fontId="4" fillId="0" borderId="18" xfId="1" applyNumberFormat="1" applyFont="1" applyBorder="1" applyAlignment="1">
      <alignment horizontal="center" vertical="center"/>
    </xf>
    <xf numFmtId="164" fontId="4" fillId="0" borderId="19" xfId="1" applyNumberFormat="1" applyFont="1" applyBorder="1" applyAlignment="1">
      <alignment horizontal="center" vertical="center"/>
    </xf>
    <xf numFmtId="164" fontId="4" fillId="0" borderId="20" xfId="1" applyNumberFormat="1" applyFont="1" applyBorder="1" applyAlignment="1">
      <alignment horizontal="center" vertical="center"/>
    </xf>
    <xf numFmtId="164" fontId="4" fillId="0" borderId="34" xfId="1" applyNumberFormat="1" applyFont="1" applyBorder="1" applyAlignment="1">
      <alignment horizontal="center" vertical="center"/>
    </xf>
    <xf numFmtId="164" fontId="0" fillId="0" borderId="35" xfId="1" applyNumberFormat="1" applyFont="1" applyBorder="1" applyAlignment="1">
      <alignment horizontal="center" vertical="center"/>
    </xf>
    <xf numFmtId="164" fontId="0" fillId="0" borderId="36" xfId="1" applyNumberFormat="1" applyFont="1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164" fontId="4" fillId="0" borderId="35" xfId="1" applyNumberFormat="1" applyFont="1" applyBorder="1" applyAlignment="1">
      <alignment horizontal="center" vertical="center"/>
    </xf>
    <xf numFmtId="164" fontId="4" fillId="0" borderId="36" xfId="1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4" fillId="0" borderId="18" xfId="1" applyNumberFormat="1" applyFont="1" applyBorder="1" applyAlignment="1">
      <alignment horizontal="right" vertical="center"/>
    </xf>
    <xf numFmtId="164" fontId="4" fillId="0" borderId="19" xfId="1" applyNumberFormat="1" applyFont="1" applyBorder="1" applyAlignment="1">
      <alignment horizontal="right" vertical="center"/>
    </xf>
    <xf numFmtId="164" fontId="4" fillId="0" borderId="20" xfId="1" applyNumberFormat="1" applyFont="1" applyBorder="1" applyAlignment="1">
      <alignment horizontal="right" vertical="center"/>
    </xf>
    <xf numFmtId="164" fontId="0" fillId="0" borderId="19" xfId="1" applyNumberFormat="1" applyFont="1" applyBorder="1" applyAlignment="1">
      <alignment horizontal="right" vertical="center"/>
    </xf>
    <xf numFmtId="164" fontId="0" fillId="0" borderId="20" xfId="1" applyNumberFormat="1" applyFont="1" applyBorder="1" applyAlignment="1">
      <alignment horizontal="right" vertical="center"/>
    </xf>
    <xf numFmtId="3" fontId="4" fillId="0" borderId="18" xfId="0" applyNumberFormat="1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4" fillId="0" borderId="20" xfId="0" applyFont="1" applyBorder="1" applyAlignment="1">
      <alignment horizontal="right" vertical="center"/>
    </xf>
    <xf numFmtId="3" fontId="0" fillId="0" borderId="18" xfId="0" applyNumberFormat="1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3" fontId="6" fillId="0" borderId="18" xfId="0" applyNumberFormat="1" applyFont="1" applyBorder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7" fillId="0" borderId="40" xfId="0" applyFont="1" applyBorder="1" applyAlignment="1">
      <alignment horizontal="center"/>
    </xf>
    <xf numFmtId="164" fontId="4" fillId="0" borderId="27" xfId="1" applyNumberFormat="1" applyFont="1" applyBorder="1" applyAlignment="1">
      <alignment horizontal="center" vertical="center"/>
    </xf>
    <xf numFmtId="164" fontId="4" fillId="0" borderId="41" xfId="1" applyNumberFormat="1" applyFont="1" applyBorder="1" applyAlignment="1">
      <alignment horizontal="center" vertical="center"/>
    </xf>
    <xf numFmtId="164" fontId="4" fillId="0" borderId="28" xfId="1" applyNumberFormat="1" applyFont="1" applyBorder="1" applyAlignment="1">
      <alignment horizontal="center" vertical="center"/>
    </xf>
    <xf numFmtId="164" fontId="0" fillId="0" borderId="41" xfId="1" applyNumberFormat="1" applyFont="1" applyBorder="1" applyAlignment="1">
      <alignment horizontal="center" vertical="center"/>
    </xf>
    <xf numFmtId="164" fontId="0" fillId="0" borderId="28" xfId="1" applyNumberFormat="1" applyFont="1" applyBorder="1" applyAlignment="1">
      <alignment horizontal="center" vertical="center"/>
    </xf>
    <xf numFmtId="164" fontId="4" fillId="0" borderId="27" xfId="1" applyNumberFormat="1" applyFont="1" applyBorder="1" applyAlignment="1">
      <alignment horizontal="center" vertical="center"/>
    </xf>
    <xf numFmtId="164" fontId="0" fillId="0" borderId="41" xfId="1" applyNumberFormat="1" applyFont="1" applyBorder="1" applyAlignment="1">
      <alignment horizontal="center" vertical="center"/>
    </xf>
    <xf numFmtId="164" fontId="0" fillId="0" borderId="28" xfId="1" applyNumberFormat="1" applyFont="1" applyBorder="1" applyAlignment="1">
      <alignment horizontal="center" vertical="center"/>
    </xf>
    <xf numFmtId="164" fontId="4" fillId="0" borderId="30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27" xfId="1" applyNumberFormat="1" applyFont="1" applyBorder="1" applyAlignment="1">
      <alignment horizontal="center" vertical="center"/>
    </xf>
    <xf numFmtId="164" fontId="0" fillId="0" borderId="16" xfId="1" applyNumberFormat="1" applyFont="1" applyBorder="1" applyAlignment="1">
      <alignment horizontal="center" vertical="center"/>
    </xf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showGridLines="0" tabSelected="1" zoomScale="200" zoomScaleNormal="200" zoomScalePageLayoutView="200" workbookViewId="0">
      <selection activeCell="D6" sqref="D6:D19"/>
    </sheetView>
  </sheetViews>
  <sheetFormatPr baseColWidth="10" defaultColWidth="8.83203125" defaultRowHeight="12" x14ac:dyDescent="0"/>
  <cols>
    <col min="2" max="2" width="22.33203125" customWidth="1"/>
    <col min="3" max="3" width="22.33203125" bestFit="1" customWidth="1"/>
    <col min="4" max="6" width="18.5" customWidth="1"/>
    <col min="7" max="7" width="12.5" customWidth="1"/>
    <col min="9" max="9" width="11.83203125" bestFit="1" customWidth="1"/>
    <col min="10" max="10" width="10.83203125" bestFit="1" customWidth="1"/>
    <col min="11" max="11" width="13.5" bestFit="1" customWidth="1"/>
  </cols>
  <sheetData>
    <row r="1" spans="1:9" ht="21">
      <c r="A1" s="24" t="s">
        <v>104</v>
      </c>
    </row>
    <row r="3" spans="1:9" ht="13" thickBot="1"/>
    <row r="4" spans="1:9" ht="22" thickBot="1">
      <c r="A4" s="72" t="s">
        <v>83</v>
      </c>
      <c r="B4" s="73"/>
      <c r="C4" s="23"/>
      <c r="D4" s="72" t="s">
        <v>84</v>
      </c>
      <c r="E4" s="93"/>
      <c r="F4" s="93"/>
      <c r="G4" s="73"/>
    </row>
    <row r="5" spans="1:9">
      <c r="A5" s="13" t="s">
        <v>81</v>
      </c>
      <c r="B5" s="20" t="s">
        <v>70</v>
      </c>
      <c r="C5" s="29" t="s">
        <v>98</v>
      </c>
      <c r="D5" s="20" t="s">
        <v>70</v>
      </c>
      <c r="E5" s="20" t="s">
        <v>109</v>
      </c>
      <c r="F5" s="20" t="s">
        <v>110</v>
      </c>
      <c r="G5" s="21" t="s">
        <v>81</v>
      </c>
    </row>
    <row r="6" spans="1:9">
      <c r="A6" s="58" t="s">
        <v>54</v>
      </c>
      <c r="B6" s="76" t="s">
        <v>72</v>
      </c>
      <c r="C6" s="26" t="s">
        <v>33</v>
      </c>
      <c r="D6" s="64" t="s">
        <v>82</v>
      </c>
      <c r="E6" s="94">
        <v>1484</v>
      </c>
      <c r="F6" s="105" t="s">
        <v>82</v>
      </c>
      <c r="G6" s="67" t="s">
        <v>85</v>
      </c>
    </row>
    <row r="7" spans="1:9">
      <c r="A7" s="59"/>
      <c r="B7" s="77"/>
      <c r="C7" s="27" t="s">
        <v>8</v>
      </c>
      <c r="D7" s="65"/>
      <c r="E7" s="95">
        <v>1430</v>
      </c>
      <c r="F7" s="105" t="s">
        <v>82</v>
      </c>
      <c r="G7" s="74"/>
    </row>
    <row r="8" spans="1:9">
      <c r="A8" s="59"/>
      <c r="B8" s="77"/>
      <c r="C8" s="27" t="s">
        <v>6</v>
      </c>
      <c r="D8" s="65"/>
      <c r="E8" s="95">
        <v>1421</v>
      </c>
      <c r="F8" s="105" t="s">
        <v>82</v>
      </c>
      <c r="G8" s="74"/>
    </row>
    <row r="9" spans="1:9">
      <c r="A9" s="59"/>
      <c r="B9" s="77"/>
      <c r="C9" s="27" t="s">
        <v>7</v>
      </c>
      <c r="D9" s="65"/>
      <c r="E9" s="95">
        <v>1427</v>
      </c>
      <c r="F9" s="105" t="s">
        <v>82</v>
      </c>
      <c r="G9" s="74"/>
    </row>
    <row r="10" spans="1:9">
      <c r="A10" s="59"/>
      <c r="B10" s="77"/>
      <c r="C10" s="27" t="s">
        <v>35</v>
      </c>
      <c r="D10" s="65"/>
      <c r="E10" s="95">
        <v>1486</v>
      </c>
      <c r="F10" s="105" t="s">
        <v>82</v>
      </c>
      <c r="G10" s="74"/>
    </row>
    <row r="11" spans="1:9">
      <c r="A11" s="60"/>
      <c r="B11" s="78"/>
      <c r="C11" s="28" t="s">
        <v>9</v>
      </c>
      <c r="D11" s="65"/>
      <c r="E11" s="95">
        <v>1435</v>
      </c>
      <c r="F11" s="105" t="s">
        <v>82</v>
      </c>
      <c r="G11" s="74"/>
      <c r="I11" s="38"/>
    </row>
    <row r="12" spans="1:9">
      <c r="A12" s="58" t="s">
        <v>55</v>
      </c>
      <c r="B12" s="76" t="s">
        <v>73</v>
      </c>
      <c r="C12" s="27" t="s">
        <v>21</v>
      </c>
      <c r="D12" s="65"/>
      <c r="E12" s="95">
        <v>1460</v>
      </c>
      <c r="F12" s="105" t="s">
        <v>82</v>
      </c>
      <c r="G12" s="74"/>
    </row>
    <row r="13" spans="1:9">
      <c r="A13" s="59"/>
      <c r="B13" s="77"/>
      <c r="C13" s="27" t="s">
        <v>10</v>
      </c>
      <c r="D13" s="65"/>
      <c r="E13" s="95">
        <v>1438</v>
      </c>
      <c r="F13" s="105" t="s">
        <v>82</v>
      </c>
      <c r="G13" s="74"/>
    </row>
    <row r="14" spans="1:9">
      <c r="A14" s="59"/>
      <c r="B14" s="77"/>
      <c r="C14" s="27" t="s">
        <v>11</v>
      </c>
      <c r="D14" s="65"/>
      <c r="E14" s="95">
        <v>1439</v>
      </c>
      <c r="F14" s="105" t="s">
        <v>82</v>
      </c>
      <c r="G14" s="74"/>
    </row>
    <row r="15" spans="1:9">
      <c r="A15" s="59"/>
      <c r="B15" s="77"/>
      <c r="C15" s="27" t="s">
        <v>22</v>
      </c>
      <c r="D15" s="65"/>
      <c r="E15" s="95">
        <v>1461</v>
      </c>
      <c r="F15" s="105" t="s">
        <v>82</v>
      </c>
      <c r="G15" s="74"/>
    </row>
    <row r="16" spans="1:9">
      <c r="A16" s="60"/>
      <c r="B16" s="78"/>
      <c r="C16" s="28" t="s">
        <v>41</v>
      </c>
      <c r="D16" s="65"/>
      <c r="E16" s="95">
        <v>1492</v>
      </c>
      <c r="F16" s="105" t="s">
        <v>82</v>
      </c>
      <c r="G16" s="74"/>
    </row>
    <row r="17" spans="1:7">
      <c r="A17" s="58" t="s">
        <v>56</v>
      </c>
      <c r="B17" s="76" t="s">
        <v>74</v>
      </c>
      <c r="C17" s="27" t="s">
        <v>37</v>
      </c>
      <c r="D17" s="65"/>
      <c r="E17" s="95">
        <v>1488</v>
      </c>
      <c r="F17" s="105" t="s">
        <v>82</v>
      </c>
      <c r="G17" s="74"/>
    </row>
    <row r="18" spans="1:7">
      <c r="A18" s="59"/>
      <c r="B18" s="77"/>
      <c r="C18" s="27" t="s">
        <v>34</v>
      </c>
      <c r="D18" s="65"/>
      <c r="E18" s="95">
        <v>1485</v>
      </c>
      <c r="F18" s="105" t="s">
        <v>82</v>
      </c>
      <c r="G18" s="74"/>
    </row>
    <row r="19" spans="1:7">
      <c r="A19" s="59"/>
      <c r="B19" s="77"/>
      <c r="C19" s="27" t="s">
        <v>36</v>
      </c>
      <c r="D19" s="66"/>
      <c r="E19" s="96">
        <v>1487</v>
      </c>
      <c r="F19" s="105" t="s">
        <v>82</v>
      </c>
      <c r="G19" s="75"/>
    </row>
    <row r="20" spans="1:7">
      <c r="A20" s="60"/>
      <c r="B20" s="78"/>
      <c r="C20" s="28" t="s">
        <v>23</v>
      </c>
      <c r="D20" s="64" t="s">
        <v>86</v>
      </c>
      <c r="E20" s="94">
        <v>1462</v>
      </c>
      <c r="F20" s="105" t="s">
        <v>86</v>
      </c>
      <c r="G20" s="67" t="s">
        <v>85</v>
      </c>
    </row>
    <row r="21" spans="1:7">
      <c r="A21" s="58" t="s">
        <v>57</v>
      </c>
      <c r="B21" s="76" t="s">
        <v>75</v>
      </c>
      <c r="C21" s="27" t="s">
        <v>12</v>
      </c>
      <c r="D21" s="70"/>
      <c r="E21" s="97">
        <v>1440</v>
      </c>
      <c r="F21" s="105" t="s">
        <v>86</v>
      </c>
      <c r="G21" s="68"/>
    </row>
    <row r="22" spans="1:7">
      <c r="A22" s="59"/>
      <c r="B22" s="77"/>
      <c r="C22" s="27" t="s">
        <v>32</v>
      </c>
      <c r="D22" s="70"/>
      <c r="E22" s="97">
        <v>1482</v>
      </c>
      <c r="F22" s="105" t="s">
        <v>86</v>
      </c>
      <c r="G22" s="68"/>
    </row>
    <row r="23" spans="1:7">
      <c r="A23" s="59"/>
      <c r="B23" s="77"/>
      <c r="C23" s="27" t="s">
        <v>5</v>
      </c>
      <c r="D23" s="70"/>
      <c r="E23" s="97">
        <v>1415</v>
      </c>
      <c r="F23" s="105" t="s">
        <v>86</v>
      </c>
      <c r="G23" s="68"/>
    </row>
    <row r="24" spans="1:7">
      <c r="A24" s="59"/>
      <c r="B24" s="77"/>
      <c r="C24" s="27" t="s">
        <v>58</v>
      </c>
      <c r="D24" s="70"/>
      <c r="E24" s="97">
        <v>1419</v>
      </c>
      <c r="F24" s="105" t="s">
        <v>86</v>
      </c>
      <c r="G24" s="68"/>
    </row>
    <row r="25" spans="1:7">
      <c r="A25" s="60"/>
      <c r="B25" s="78"/>
      <c r="C25" s="28" t="s">
        <v>4</v>
      </c>
      <c r="D25" s="70"/>
      <c r="E25" s="97">
        <v>1407</v>
      </c>
      <c r="F25" s="105" t="s">
        <v>86</v>
      </c>
      <c r="G25" s="68"/>
    </row>
    <row r="26" spans="1:7">
      <c r="A26" s="58" t="s">
        <v>61</v>
      </c>
      <c r="B26" s="55" t="s">
        <v>77</v>
      </c>
      <c r="C26" s="27" t="s">
        <v>2</v>
      </c>
      <c r="D26" s="70"/>
      <c r="E26" s="97">
        <v>1401</v>
      </c>
      <c r="F26" s="105" t="s">
        <v>86</v>
      </c>
      <c r="G26" s="68"/>
    </row>
    <row r="27" spans="1:7">
      <c r="A27" s="59"/>
      <c r="B27" s="56"/>
      <c r="C27" s="27" t="s">
        <v>31</v>
      </c>
      <c r="D27" s="70"/>
      <c r="E27" s="97">
        <v>1481</v>
      </c>
      <c r="F27" s="105" t="s">
        <v>86</v>
      </c>
      <c r="G27" s="68"/>
    </row>
    <row r="28" spans="1:7">
      <c r="A28" s="60"/>
      <c r="B28" s="57"/>
      <c r="C28" s="28" t="s">
        <v>3</v>
      </c>
      <c r="D28" s="70"/>
      <c r="E28" s="97">
        <v>1402</v>
      </c>
      <c r="F28" s="105" t="s">
        <v>86</v>
      </c>
      <c r="G28" s="68"/>
    </row>
    <row r="29" spans="1:7">
      <c r="A29" s="58" t="s">
        <v>60</v>
      </c>
      <c r="B29" s="55" t="s">
        <v>76</v>
      </c>
      <c r="C29" s="27" t="s">
        <v>13</v>
      </c>
      <c r="D29" s="70"/>
      <c r="E29" s="97">
        <v>1441</v>
      </c>
      <c r="F29" s="105" t="s">
        <v>86</v>
      </c>
      <c r="G29" s="68"/>
    </row>
    <row r="30" spans="1:7">
      <c r="A30" s="59"/>
      <c r="B30" s="56"/>
      <c r="C30" s="27" t="s">
        <v>38</v>
      </c>
      <c r="D30" s="71"/>
      <c r="E30" s="98">
        <v>1489</v>
      </c>
      <c r="F30" s="105" t="s">
        <v>86</v>
      </c>
      <c r="G30" s="69"/>
    </row>
    <row r="31" spans="1:7">
      <c r="A31" s="59"/>
      <c r="B31" s="56"/>
      <c r="C31" s="27" t="s">
        <v>26</v>
      </c>
      <c r="D31" s="64" t="s">
        <v>87</v>
      </c>
      <c r="E31" s="94">
        <v>1466</v>
      </c>
      <c r="F31" s="105" t="s">
        <v>87</v>
      </c>
      <c r="G31" s="67" t="s">
        <v>85</v>
      </c>
    </row>
    <row r="32" spans="1:7">
      <c r="A32" s="60"/>
      <c r="B32" s="57"/>
      <c r="C32" s="28" t="s">
        <v>14</v>
      </c>
      <c r="D32" s="65"/>
      <c r="E32" s="95">
        <v>1442</v>
      </c>
      <c r="F32" s="105" t="s">
        <v>87</v>
      </c>
      <c r="G32" s="68"/>
    </row>
    <row r="33" spans="1:7">
      <c r="A33" s="58" t="s">
        <v>62</v>
      </c>
      <c r="B33" s="55" t="s">
        <v>78</v>
      </c>
      <c r="C33" s="27" t="s">
        <v>15</v>
      </c>
      <c r="D33" s="65"/>
      <c r="E33" s="95">
        <v>1443</v>
      </c>
      <c r="F33" s="105" t="s">
        <v>87</v>
      </c>
      <c r="G33" s="68"/>
    </row>
    <row r="34" spans="1:7">
      <c r="A34" s="59"/>
      <c r="B34" s="56"/>
      <c r="C34" s="27" t="s">
        <v>39</v>
      </c>
      <c r="D34" s="65"/>
      <c r="E34" s="95">
        <v>1490</v>
      </c>
      <c r="F34" s="105" t="s">
        <v>87</v>
      </c>
      <c r="G34" s="68"/>
    </row>
    <row r="35" spans="1:7">
      <c r="A35" s="59"/>
      <c r="B35" s="56"/>
      <c r="C35" s="27" t="s">
        <v>24</v>
      </c>
      <c r="D35" s="65"/>
      <c r="E35" s="95">
        <v>1463</v>
      </c>
      <c r="F35" s="105" t="s">
        <v>87</v>
      </c>
      <c r="G35" s="68"/>
    </row>
    <row r="36" spans="1:7">
      <c r="A36" s="59"/>
      <c r="B36" s="56"/>
      <c r="C36" s="27" t="s">
        <v>25</v>
      </c>
      <c r="D36" s="65"/>
      <c r="E36" s="95">
        <v>1465</v>
      </c>
      <c r="F36" s="105" t="s">
        <v>87</v>
      </c>
      <c r="G36" s="68"/>
    </row>
    <row r="37" spans="1:7">
      <c r="A37" s="59"/>
      <c r="B37" s="56"/>
      <c r="C37" s="27" t="s">
        <v>20</v>
      </c>
      <c r="D37" s="65"/>
      <c r="E37" s="95">
        <v>1452</v>
      </c>
      <c r="F37" s="105" t="s">
        <v>87</v>
      </c>
      <c r="G37" s="68"/>
    </row>
    <row r="38" spans="1:7">
      <c r="A38" s="60"/>
      <c r="B38" s="57"/>
      <c r="C38" s="28" t="s">
        <v>40</v>
      </c>
      <c r="D38" s="66"/>
      <c r="E38" s="95">
        <v>1491</v>
      </c>
      <c r="F38" s="105" t="s">
        <v>87</v>
      </c>
      <c r="G38" s="69"/>
    </row>
    <row r="39" spans="1:7">
      <c r="A39" s="58" t="s">
        <v>59</v>
      </c>
      <c r="B39" s="55" t="s">
        <v>102</v>
      </c>
      <c r="C39" s="27" t="s">
        <v>94</v>
      </c>
      <c r="D39" s="99" t="s">
        <v>97</v>
      </c>
      <c r="E39" s="52">
        <v>1480</v>
      </c>
      <c r="F39" s="106" t="s">
        <v>97</v>
      </c>
      <c r="G39" s="102" t="s">
        <v>85</v>
      </c>
    </row>
    <row r="40" spans="1:7">
      <c r="A40" s="59"/>
      <c r="B40" s="56"/>
      <c r="C40" s="27" t="s">
        <v>0</v>
      </c>
      <c r="D40" s="100"/>
      <c r="E40" s="53">
        <v>1480</v>
      </c>
      <c r="F40" s="106" t="s">
        <v>97</v>
      </c>
      <c r="G40" s="103"/>
    </row>
    <row r="41" spans="1:7">
      <c r="A41" s="59"/>
      <c r="B41" s="56"/>
      <c r="C41" s="27" t="s">
        <v>95</v>
      </c>
      <c r="D41" s="100"/>
      <c r="E41" s="53">
        <v>1480</v>
      </c>
      <c r="F41" s="106" t="s">
        <v>97</v>
      </c>
      <c r="G41" s="103"/>
    </row>
    <row r="42" spans="1:7">
      <c r="A42" s="60"/>
      <c r="B42" s="57"/>
      <c r="C42" s="28" t="s">
        <v>96</v>
      </c>
      <c r="D42" s="100"/>
      <c r="E42" s="53">
        <v>1480</v>
      </c>
      <c r="F42" s="106" t="s">
        <v>97</v>
      </c>
      <c r="G42" s="103"/>
    </row>
    <row r="43" spans="1:7">
      <c r="A43" s="58" t="s">
        <v>65</v>
      </c>
      <c r="B43" s="55" t="s">
        <v>103</v>
      </c>
      <c r="C43" s="27" t="s">
        <v>1</v>
      </c>
      <c r="D43" s="100"/>
      <c r="E43" s="53">
        <v>1480</v>
      </c>
      <c r="F43" s="106" t="s">
        <v>97</v>
      </c>
      <c r="G43" s="103"/>
    </row>
    <row r="44" spans="1:7">
      <c r="A44" s="59"/>
      <c r="B44" s="56"/>
      <c r="C44" s="27" t="s">
        <v>89</v>
      </c>
      <c r="D44" s="100"/>
      <c r="E44" s="53">
        <v>1480</v>
      </c>
      <c r="F44" s="106" t="s">
        <v>97</v>
      </c>
      <c r="G44" s="103"/>
    </row>
    <row r="45" spans="1:7">
      <c r="A45" s="60"/>
      <c r="B45" s="57"/>
      <c r="C45" s="28" t="s">
        <v>90</v>
      </c>
      <c r="D45" s="100"/>
      <c r="E45" s="53">
        <v>1480</v>
      </c>
      <c r="F45" s="106" t="s">
        <v>97</v>
      </c>
      <c r="G45" s="103"/>
    </row>
    <row r="46" spans="1:7">
      <c r="A46" s="58" t="s">
        <v>66</v>
      </c>
      <c r="B46" s="61" t="s">
        <v>108</v>
      </c>
      <c r="C46" s="27" t="s">
        <v>91</v>
      </c>
      <c r="D46" s="100"/>
      <c r="E46" s="53">
        <v>1480</v>
      </c>
      <c r="F46" s="106" t="s">
        <v>97</v>
      </c>
      <c r="G46" s="103"/>
    </row>
    <row r="47" spans="1:7">
      <c r="A47" s="59"/>
      <c r="B47" s="62"/>
      <c r="C47" s="27" t="s">
        <v>92</v>
      </c>
      <c r="D47" s="100"/>
      <c r="E47" s="53">
        <v>1480</v>
      </c>
      <c r="F47" s="106" t="s">
        <v>97</v>
      </c>
      <c r="G47" s="103"/>
    </row>
    <row r="48" spans="1:7">
      <c r="A48" s="60"/>
      <c r="B48" s="63"/>
      <c r="C48" s="28" t="s">
        <v>93</v>
      </c>
      <c r="D48" s="101"/>
      <c r="E48" s="54">
        <v>1480</v>
      </c>
      <c r="F48" s="106" t="s">
        <v>97</v>
      </c>
      <c r="G48" s="104"/>
    </row>
    <row r="49" spans="1:7">
      <c r="A49" s="58" t="s">
        <v>63</v>
      </c>
      <c r="B49" s="55" t="s">
        <v>79</v>
      </c>
      <c r="C49" s="27" t="s">
        <v>17</v>
      </c>
      <c r="D49" s="64" t="s">
        <v>88</v>
      </c>
      <c r="E49" s="95">
        <v>1445</v>
      </c>
      <c r="F49" s="97" t="s">
        <v>88</v>
      </c>
      <c r="G49" s="67" t="s">
        <v>85</v>
      </c>
    </row>
    <row r="50" spans="1:7">
      <c r="A50" s="59"/>
      <c r="B50" s="56"/>
      <c r="C50" s="27" t="s">
        <v>48</v>
      </c>
      <c r="D50" s="70"/>
      <c r="E50" s="97">
        <v>1499</v>
      </c>
      <c r="F50" s="97" t="s">
        <v>88</v>
      </c>
      <c r="G50" s="68"/>
    </row>
    <row r="51" spans="1:7">
      <c r="A51" s="59"/>
      <c r="B51" s="56"/>
      <c r="C51" s="27" t="s">
        <v>16</v>
      </c>
      <c r="D51" s="70"/>
      <c r="E51" s="97">
        <v>1444</v>
      </c>
      <c r="F51" s="97" t="s">
        <v>88</v>
      </c>
      <c r="G51" s="68"/>
    </row>
    <row r="52" spans="1:7">
      <c r="A52" s="59"/>
      <c r="B52" s="56"/>
      <c r="C52" s="27" t="s">
        <v>28</v>
      </c>
      <c r="D52" s="70"/>
      <c r="E52" s="97">
        <v>1471</v>
      </c>
      <c r="F52" s="97" t="s">
        <v>88</v>
      </c>
      <c r="G52" s="68"/>
    </row>
    <row r="53" spans="1:7">
      <c r="A53" s="59"/>
      <c r="B53" s="56"/>
      <c r="C53" s="27" t="s">
        <v>43</v>
      </c>
      <c r="D53" s="70"/>
      <c r="E53" s="97">
        <v>1494</v>
      </c>
      <c r="F53" s="97" t="s">
        <v>88</v>
      </c>
      <c r="G53" s="68"/>
    </row>
    <row r="54" spans="1:7">
      <c r="A54" s="59"/>
      <c r="B54" s="56"/>
      <c r="C54" s="27" t="s">
        <v>44</v>
      </c>
      <c r="D54" s="70"/>
      <c r="E54" s="97">
        <v>1495</v>
      </c>
      <c r="F54" s="97" t="s">
        <v>88</v>
      </c>
      <c r="G54" s="68"/>
    </row>
    <row r="55" spans="1:7">
      <c r="A55" s="60"/>
      <c r="B55" s="57"/>
      <c r="C55" s="28" t="s">
        <v>27</v>
      </c>
      <c r="D55" s="70"/>
      <c r="E55" s="97">
        <v>1470</v>
      </c>
      <c r="F55" s="97" t="s">
        <v>88</v>
      </c>
      <c r="G55" s="68"/>
    </row>
    <row r="56" spans="1:7">
      <c r="A56" s="58" t="s">
        <v>64</v>
      </c>
      <c r="B56" s="55" t="s">
        <v>80</v>
      </c>
      <c r="C56" s="27" t="s">
        <v>19</v>
      </c>
      <c r="D56" s="70"/>
      <c r="E56" s="97">
        <v>1447</v>
      </c>
      <c r="F56" s="97" t="s">
        <v>88</v>
      </c>
      <c r="G56" s="68"/>
    </row>
    <row r="57" spans="1:7">
      <c r="A57" s="59"/>
      <c r="B57" s="56"/>
      <c r="C57" s="27" t="s">
        <v>46</v>
      </c>
      <c r="D57" s="70"/>
      <c r="E57" s="97">
        <v>1497</v>
      </c>
      <c r="F57" s="97" t="s">
        <v>88</v>
      </c>
      <c r="G57" s="68"/>
    </row>
    <row r="58" spans="1:7">
      <c r="A58" s="59"/>
      <c r="B58" s="56"/>
      <c r="C58" s="27" t="s">
        <v>18</v>
      </c>
      <c r="D58" s="70"/>
      <c r="E58" s="97">
        <v>1446</v>
      </c>
      <c r="F58" s="97" t="s">
        <v>88</v>
      </c>
      <c r="G58" s="68"/>
    </row>
    <row r="59" spans="1:7">
      <c r="A59" s="59"/>
      <c r="B59" s="56"/>
      <c r="C59" s="27" t="s">
        <v>42</v>
      </c>
      <c r="D59" s="70"/>
      <c r="E59" s="97">
        <v>1493</v>
      </c>
      <c r="F59" s="97" t="s">
        <v>88</v>
      </c>
      <c r="G59" s="68"/>
    </row>
    <row r="60" spans="1:7">
      <c r="A60" s="59"/>
      <c r="B60" s="56"/>
      <c r="C60" s="27" t="s">
        <v>45</v>
      </c>
      <c r="D60" s="70"/>
      <c r="E60" s="97">
        <v>1496</v>
      </c>
      <c r="F60" s="97" t="s">
        <v>88</v>
      </c>
      <c r="G60" s="68"/>
    </row>
    <row r="61" spans="1:7">
      <c r="A61" s="59"/>
      <c r="B61" s="56"/>
      <c r="C61" s="27" t="s">
        <v>29</v>
      </c>
      <c r="D61" s="70"/>
      <c r="E61" s="97">
        <v>1472</v>
      </c>
      <c r="F61" s="97" t="s">
        <v>88</v>
      </c>
      <c r="G61" s="68"/>
    </row>
    <row r="62" spans="1:7">
      <c r="A62" s="59"/>
      <c r="B62" s="56"/>
      <c r="C62" s="27" t="s">
        <v>47</v>
      </c>
      <c r="D62" s="70"/>
      <c r="E62" s="97">
        <v>1498</v>
      </c>
      <c r="F62" s="97" t="s">
        <v>88</v>
      </c>
      <c r="G62" s="68"/>
    </row>
    <row r="63" spans="1:7">
      <c r="A63" s="60"/>
      <c r="B63" s="57"/>
      <c r="C63" s="28" t="s">
        <v>30</v>
      </c>
      <c r="D63" s="71"/>
      <c r="E63" s="98">
        <v>1473</v>
      </c>
      <c r="F63" s="97" t="s">
        <v>88</v>
      </c>
      <c r="G63" s="69"/>
    </row>
  </sheetData>
  <mergeCells count="36">
    <mergeCell ref="A4:B4"/>
    <mergeCell ref="D4:G4"/>
    <mergeCell ref="D6:D19"/>
    <mergeCell ref="G6:G19"/>
    <mergeCell ref="D20:D30"/>
    <mergeCell ref="G20:G30"/>
    <mergeCell ref="A6:A11"/>
    <mergeCell ref="B6:B11"/>
    <mergeCell ref="A12:A16"/>
    <mergeCell ref="B12:B16"/>
    <mergeCell ref="A17:A20"/>
    <mergeCell ref="B17:B20"/>
    <mergeCell ref="A21:A25"/>
    <mergeCell ref="B21:B25"/>
    <mergeCell ref="B26:B28"/>
    <mergeCell ref="A26:A28"/>
    <mergeCell ref="D31:D38"/>
    <mergeCell ref="G31:G38"/>
    <mergeCell ref="D49:D63"/>
    <mergeCell ref="G49:G63"/>
    <mergeCell ref="D39:D48"/>
    <mergeCell ref="G39:G48"/>
    <mergeCell ref="A39:A42"/>
    <mergeCell ref="B46:B48"/>
    <mergeCell ref="A46:A48"/>
    <mergeCell ref="B29:B32"/>
    <mergeCell ref="A29:A32"/>
    <mergeCell ref="A33:A38"/>
    <mergeCell ref="B33:B38"/>
    <mergeCell ref="B39:B42"/>
    <mergeCell ref="B49:B55"/>
    <mergeCell ref="B56:B63"/>
    <mergeCell ref="A56:A63"/>
    <mergeCell ref="A49:A55"/>
    <mergeCell ref="B43:B45"/>
    <mergeCell ref="A43:A45"/>
  </mergeCells>
  <phoneticPr fontId="3" type="noConversion"/>
  <pageMargins left="0.78740157480314965" right="0.78740157480314965" top="0.19685039370078741" bottom="0.19685039370078741" header="0.51181102362204722" footer="0.51181102362204722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68"/>
  <sheetViews>
    <sheetView workbookViewId="0">
      <selection activeCell="D72" sqref="D72"/>
    </sheetView>
  </sheetViews>
  <sheetFormatPr baseColWidth="10" defaultColWidth="8.83203125" defaultRowHeight="12" x14ac:dyDescent="0"/>
  <cols>
    <col min="2" max="3" width="22.33203125" customWidth="1"/>
    <col min="4" max="4" width="22.33203125" bestFit="1" customWidth="1"/>
    <col min="5" max="5" width="22.33203125" customWidth="1"/>
    <col min="6" max="7" width="18.5" customWidth="1"/>
    <col min="8" max="8" width="12.5" customWidth="1"/>
    <col min="10" max="10" width="11.83203125" bestFit="1" customWidth="1"/>
    <col min="11" max="11" width="10.83203125" bestFit="1" customWidth="1"/>
    <col min="12" max="12" width="13.5" bestFit="1" customWidth="1"/>
  </cols>
  <sheetData>
    <row r="1" spans="1:10" ht="21">
      <c r="A1" s="24" t="s">
        <v>104</v>
      </c>
    </row>
    <row r="3" spans="1:10" ht="13" thickBot="1"/>
    <row r="4" spans="1:10" ht="22" thickBot="1">
      <c r="A4" s="72" t="s">
        <v>83</v>
      </c>
      <c r="B4" s="73"/>
      <c r="C4" s="39"/>
      <c r="D4" s="23"/>
      <c r="E4" s="23"/>
      <c r="F4" s="72" t="s">
        <v>84</v>
      </c>
      <c r="G4" s="93"/>
      <c r="H4" s="73"/>
    </row>
    <row r="5" spans="1:10">
      <c r="A5" s="13" t="s">
        <v>81</v>
      </c>
      <c r="B5" s="20" t="s">
        <v>70</v>
      </c>
      <c r="C5" s="41" t="s">
        <v>105</v>
      </c>
      <c r="D5" s="29" t="s">
        <v>98</v>
      </c>
      <c r="E5" s="41" t="s">
        <v>105</v>
      </c>
      <c r="F5" s="20" t="s">
        <v>70</v>
      </c>
      <c r="G5" s="41" t="s">
        <v>105</v>
      </c>
      <c r="H5" s="21" t="s">
        <v>81</v>
      </c>
    </row>
    <row r="6" spans="1:10">
      <c r="A6" s="58" t="s">
        <v>54</v>
      </c>
      <c r="B6" s="76" t="s">
        <v>72</v>
      </c>
      <c r="C6" s="87">
        <f>SUM(E6:E11)</f>
        <v>73321</v>
      </c>
      <c r="D6" s="26" t="s">
        <v>33</v>
      </c>
      <c r="E6" s="40">
        <f>SUM(Blad1!F7)</f>
        <v>14369</v>
      </c>
      <c r="F6" s="64" t="s">
        <v>82</v>
      </c>
      <c r="G6" s="79">
        <f>SUM(E6:E19)</f>
        <v>237679</v>
      </c>
      <c r="H6" s="67" t="s">
        <v>85</v>
      </c>
    </row>
    <row r="7" spans="1:10">
      <c r="A7" s="59"/>
      <c r="B7" s="77"/>
      <c r="C7" s="88"/>
      <c r="D7" s="27" t="s">
        <v>8</v>
      </c>
      <c r="E7" s="40">
        <f>SUM(Blad1!F8)</f>
        <v>10205</v>
      </c>
      <c r="F7" s="65"/>
      <c r="G7" s="80"/>
      <c r="H7" s="74"/>
    </row>
    <row r="8" spans="1:10">
      <c r="A8" s="59"/>
      <c r="B8" s="77"/>
      <c r="C8" s="88"/>
      <c r="D8" s="27" t="s">
        <v>6</v>
      </c>
      <c r="E8" s="40">
        <f>SUM(Blad1!F9)</f>
        <v>15036</v>
      </c>
      <c r="F8" s="65"/>
      <c r="G8" s="80"/>
      <c r="H8" s="74"/>
    </row>
    <row r="9" spans="1:10">
      <c r="A9" s="59"/>
      <c r="B9" s="77"/>
      <c r="C9" s="88"/>
      <c r="D9" s="27" t="s">
        <v>7</v>
      </c>
      <c r="E9" s="40">
        <f>SUM(Blad1!F10)</f>
        <v>8928</v>
      </c>
      <c r="F9" s="65"/>
      <c r="G9" s="80"/>
      <c r="H9" s="74"/>
    </row>
    <row r="10" spans="1:10">
      <c r="A10" s="59"/>
      <c r="B10" s="77"/>
      <c r="C10" s="88"/>
      <c r="D10" s="27" t="s">
        <v>35</v>
      </c>
      <c r="E10" s="40">
        <f>SUM(Blad1!F11)</f>
        <v>12480</v>
      </c>
      <c r="F10" s="65"/>
      <c r="G10" s="80"/>
      <c r="H10" s="74"/>
    </row>
    <row r="11" spans="1:10">
      <c r="A11" s="60"/>
      <c r="B11" s="78"/>
      <c r="C11" s="89"/>
      <c r="D11" s="28" t="s">
        <v>9</v>
      </c>
      <c r="E11" s="40">
        <f>SUM(Blad1!F12)</f>
        <v>12303</v>
      </c>
      <c r="F11" s="65"/>
      <c r="G11" s="80"/>
      <c r="H11" s="74"/>
      <c r="J11" s="38"/>
    </row>
    <row r="12" spans="1:10">
      <c r="A12" s="58" t="s">
        <v>55</v>
      </c>
      <c r="B12" s="76" t="s">
        <v>73</v>
      </c>
      <c r="C12" s="87">
        <f>SUM(E12:E16)</f>
        <v>41931</v>
      </c>
      <c r="D12" s="27" t="s">
        <v>21</v>
      </c>
      <c r="E12" s="40">
        <f>SUM(Blad1!F13)</f>
        <v>9550</v>
      </c>
      <c r="F12" s="65"/>
      <c r="G12" s="80"/>
      <c r="H12" s="74"/>
    </row>
    <row r="13" spans="1:10">
      <c r="A13" s="59"/>
      <c r="B13" s="77"/>
      <c r="C13" s="88"/>
      <c r="D13" s="27" t="s">
        <v>10</v>
      </c>
      <c r="E13" s="40">
        <f>SUM(Blad1!F14)</f>
        <v>4740</v>
      </c>
      <c r="F13" s="65"/>
      <c r="G13" s="80"/>
      <c r="H13" s="74"/>
    </row>
    <row r="14" spans="1:10">
      <c r="A14" s="59"/>
      <c r="B14" s="77"/>
      <c r="C14" s="88"/>
      <c r="D14" s="27" t="s">
        <v>11</v>
      </c>
      <c r="E14" s="40">
        <f>SUM(Blad1!F15)</f>
        <v>6520</v>
      </c>
      <c r="F14" s="65"/>
      <c r="G14" s="80"/>
      <c r="H14" s="74"/>
    </row>
    <row r="15" spans="1:10">
      <c r="A15" s="59"/>
      <c r="B15" s="77"/>
      <c r="C15" s="88"/>
      <c r="D15" s="27" t="s">
        <v>22</v>
      </c>
      <c r="E15" s="40">
        <f>SUM(Blad1!F16)</f>
        <v>8892</v>
      </c>
      <c r="F15" s="65"/>
      <c r="G15" s="80"/>
      <c r="H15" s="74"/>
    </row>
    <row r="16" spans="1:10">
      <c r="A16" s="60"/>
      <c r="B16" s="78"/>
      <c r="C16" s="89"/>
      <c r="D16" s="28" t="s">
        <v>41</v>
      </c>
      <c r="E16" s="40">
        <f>SUM(Blad1!F17)</f>
        <v>12229</v>
      </c>
      <c r="F16" s="65"/>
      <c r="G16" s="80"/>
      <c r="H16" s="74"/>
    </row>
    <row r="17" spans="1:8">
      <c r="A17" s="58" t="s">
        <v>56</v>
      </c>
      <c r="B17" s="76" t="s">
        <v>74</v>
      </c>
      <c r="C17" s="87">
        <f>SUM(E17:E20)</f>
        <v>159796</v>
      </c>
      <c r="D17" s="27" t="s">
        <v>37</v>
      </c>
      <c r="E17" s="40">
        <f>SUM(Blad1!F18)</f>
        <v>12829</v>
      </c>
      <c r="F17" s="65"/>
      <c r="G17" s="80"/>
      <c r="H17" s="74"/>
    </row>
    <row r="18" spans="1:8">
      <c r="A18" s="59"/>
      <c r="B18" s="77"/>
      <c r="C18" s="88"/>
      <c r="D18" s="27" t="s">
        <v>34</v>
      </c>
      <c r="E18" s="40">
        <f>SUM(Blad1!F19)</f>
        <v>56573</v>
      </c>
      <c r="F18" s="65"/>
      <c r="G18" s="80"/>
      <c r="H18" s="74"/>
    </row>
    <row r="19" spans="1:8">
      <c r="A19" s="59"/>
      <c r="B19" s="77"/>
      <c r="C19" s="88"/>
      <c r="D19" s="27" t="s">
        <v>36</v>
      </c>
      <c r="E19" s="40">
        <f>SUM(Blad1!F20)</f>
        <v>53025</v>
      </c>
      <c r="F19" s="66"/>
      <c r="G19" s="81"/>
      <c r="H19" s="75"/>
    </row>
    <row r="20" spans="1:8">
      <c r="A20" s="60"/>
      <c r="B20" s="78"/>
      <c r="C20" s="89"/>
      <c r="D20" s="28" t="s">
        <v>23</v>
      </c>
      <c r="E20" s="40">
        <f>SUM(Blad1!F21)</f>
        <v>37369</v>
      </c>
      <c r="F20" s="64" t="s">
        <v>86</v>
      </c>
      <c r="G20" s="79">
        <f>SUM(E20:E30)</f>
        <v>371903</v>
      </c>
      <c r="H20" s="67" t="s">
        <v>85</v>
      </c>
    </row>
    <row r="21" spans="1:8">
      <c r="A21" s="58" t="s">
        <v>57</v>
      </c>
      <c r="B21" s="76" t="s">
        <v>75</v>
      </c>
      <c r="C21" s="87">
        <f>SUM(E21:E25)</f>
        <v>122739</v>
      </c>
      <c r="D21" s="27" t="s">
        <v>12</v>
      </c>
      <c r="E21" s="40">
        <f>SUM(Blad1!F22)</f>
        <v>28074</v>
      </c>
      <c r="F21" s="70"/>
      <c r="G21" s="82"/>
      <c r="H21" s="68"/>
    </row>
    <row r="22" spans="1:8">
      <c r="A22" s="59"/>
      <c r="B22" s="77"/>
      <c r="C22" s="88"/>
      <c r="D22" s="27" t="s">
        <v>32</v>
      </c>
      <c r="E22" s="40">
        <f>SUM(Blad1!F23)</f>
        <v>42109</v>
      </c>
      <c r="F22" s="70"/>
      <c r="G22" s="82"/>
      <c r="H22" s="68"/>
    </row>
    <row r="23" spans="1:8">
      <c r="A23" s="59"/>
      <c r="B23" s="77"/>
      <c r="C23" s="88"/>
      <c r="D23" s="27" t="s">
        <v>5</v>
      </c>
      <c r="E23" s="40">
        <f>SUM(Blad1!F24)</f>
        <v>24932</v>
      </c>
      <c r="F23" s="70"/>
      <c r="G23" s="82"/>
      <c r="H23" s="68"/>
    </row>
    <row r="24" spans="1:8">
      <c r="A24" s="59"/>
      <c r="B24" s="77"/>
      <c r="C24" s="88"/>
      <c r="D24" s="27" t="s">
        <v>58</v>
      </c>
      <c r="E24" s="40">
        <f>SUM(Blad1!F25)</f>
        <v>15050</v>
      </c>
      <c r="F24" s="70"/>
      <c r="G24" s="82"/>
      <c r="H24" s="68"/>
    </row>
    <row r="25" spans="1:8">
      <c r="A25" s="60"/>
      <c r="B25" s="78"/>
      <c r="C25" s="89"/>
      <c r="D25" s="28" t="s">
        <v>4</v>
      </c>
      <c r="E25" s="40">
        <f>SUM(Blad1!F26)</f>
        <v>12574</v>
      </c>
      <c r="F25" s="70"/>
      <c r="G25" s="82"/>
      <c r="H25" s="68"/>
    </row>
    <row r="26" spans="1:8">
      <c r="A26" s="58" t="s">
        <v>61</v>
      </c>
      <c r="B26" s="55" t="s">
        <v>77</v>
      </c>
      <c r="C26" s="84">
        <f>SUM(E26:E28)</f>
        <v>133857</v>
      </c>
      <c r="D26" s="27" t="s">
        <v>2</v>
      </c>
      <c r="E26" s="40">
        <f>SUM(Blad1!F35)</f>
        <v>35732</v>
      </c>
      <c r="F26" s="70"/>
      <c r="G26" s="82"/>
      <c r="H26" s="68"/>
    </row>
    <row r="27" spans="1:8">
      <c r="A27" s="59"/>
      <c r="B27" s="56"/>
      <c r="C27" s="85"/>
      <c r="D27" s="27" t="s">
        <v>31</v>
      </c>
      <c r="E27" s="40">
        <f>SUM(Blad1!F36)</f>
        <v>61978</v>
      </c>
      <c r="F27" s="70"/>
      <c r="G27" s="82"/>
      <c r="H27" s="68"/>
    </row>
    <row r="28" spans="1:8">
      <c r="A28" s="60"/>
      <c r="B28" s="57"/>
      <c r="C28" s="86"/>
      <c r="D28" s="28" t="s">
        <v>3</v>
      </c>
      <c r="E28" s="40">
        <f>SUM(Blad1!F37)</f>
        <v>36147</v>
      </c>
      <c r="F28" s="70"/>
      <c r="G28" s="82"/>
      <c r="H28" s="68"/>
    </row>
    <row r="29" spans="1:8">
      <c r="A29" s="58" t="s">
        <v>60</v>
      </c>
      <c r="B29" s="55" t="s">
        <v>76</v>
      </c>
      <c r="C29" s="84">
        <f>SUM(E29:E32)</f>
        <v>98277</v>
      </c>
      <c r="D29" s="27" t="s">
        <v>13</v>
      </c>
      <c r="E29" s="40">
        <f>SUM(Blad1!F33)</f>
        <v>39319</v>
      </c>
      <c r="F29" s="70"/>
      <c r="G29" s="82"/>
      <c r="H29" s="68"/>
    </row>
    <row r="30" spans="1:8">
      <c r="A30" s="59"/>
      <c r="B30" s="56"/>
      <c r="C30" s="85"/>
      <c r="D30" s="27" t="s">
        <v>38</v>
      </c>
      <c r="E30" s="40">
        <f>SUM(Blad1!F31)</f>
        <v>38619</v>
      </c>
      <c r="F30" s="71"/>
      <c r="G30" s="83"/>
      <c r="H30" s="69"/>
    </row>
    <row r="31" spans="1:8">
      <c r="A31" s="59"/>
      <c r="B31" s="56"/>
      <c r="C31" s="85"/>
      <c r="D31" s="27" t="s">
        <v>26</v>
      </c>
      <c r="E31" s="40">
        <f>SUM(Blad1!F32)</f>
        <v>9274</v>
      </c>
      <c r="F31" s="64" t="s">
        <v>87</v>
      </c>
      <c r="G31" s="79">
        <f>SUM(E31:E38)</f>
        <v>213690</v>
      </c>
      <c r="H31" s="67" t="s">
        <v>85</v>
      </c>
    </row>
    <row r="32" spans="1:8">
      <c r="A32" s="60"/>
      <c r="B32" s="57"/>
      <c r="C32" s="86"/>
      <c r="D32" s="28" t="s">
        <v>14</v>
      </c>
      <c r="E32" s="40">
        <f>SUM(Blad1!F34)</f>
        <v>11065</v>
      </c>
      <c r="F32" s="65"/>
      <c r="G32" s="80"/>
      <c r="H32" s="68"/>
    </row>
    <row r="33" spans="1:8">
      <c r="A33" s="58" t="s">
        <v>62</v>
      </c>
      <c r="B33" s="55" t="s">
        <v>78</v>
      </c>
      <c r="C33" s="84">
        <f>SUM(E33:E38)</f>
        <v>193351</v>
      </c>
      <c r="D33" s="27" t="s">
        <v>15</v>
      </c>
      <c r="E33" s="40">
        <f>SUM(Blad1!F38)</f>
        <v>8562</v>
      </c>
      <c r="F33" s="65"/>
      <c r="G33" s="80"/>
      <c r="H33" s="68"/>
    </row>
    <row r="34" spans="1:8">
      <c r="A34" s="59"/>
      <c r="B34" s="56"/>
      <c r="C34" s="85"/>
      <c r="D34" s="27" t="s">
        <v>39</v>
      </c>
      <c r="E34" s="40">
        <f>SUM(Blad1!F39)</f>
        <v>105995</v>
      </c>
      <c r="F34" s="65"/>
      <c r="G34" s="80"/>
      <c r="H34" s="68"/>
    </row>
    <row r="35" spans="1:8">
      <c r="A35" s="59"/>
      <c r="B35" s="56"/>
      <c r="C35" s="85"/>
      <c r="D35" s="27" t="s">
        <v>24</v>
      </c>
      <c r="E35" s="40">
        <f>SUM(Blad1!F40)</f>
        <v>33753</v>
      </c>
      <c r="F35" s="65"/>
      <c r="G35" s="80"/>
      <c r="H35" s="68"/>
    </row>
    <row r="36" spans="1:8">
      <c r="A36" s="59"/>
      <c r="B36" s="56"/>
      <c r="C36" s="85"/>
      <c r="D36" s="27" t="s">
        <v>25</v>
      </c>
      <c r="E36" s="40">
        <f>SUM(Blad1!F41)</f>
        <v>10299</v>
      </c>
      <c r="F36" s="65"/>
      <c r="G36" s="80"/>
      <c r="H36" s="68"/>
    </row>
    <row r="37" spans="1:8">
      <c r="A37" s="59"/>
      <c r="B37" s="56"/>
      <c r="C37" s="85"/>
      <c r="D37" s="27" t="s">
        <v>20</v>
      </c>
      <c r="E37" s="40">
        <f>SUM(Blad1!F42)</f>
        <v>11531</v>
      </c>
      <c r="F37" s="65"/>
      <c r="G37" s="80"/>
      <c r="H37" s="68"/>
    </row>
    <row r="38" spans="1:8">
      <c r="A38" s="60"/>
      <c r="B38" s="57"/>
      <c r="C38" s="86"/>
      <c r="D38" s="28" t="s">
        <v>40</v>
      </c>
      <c r="E38" s="40">
        <f>SUM(Blad1!F43)</f>
        <v>23211</v>
      </c>
      <c r="F38" s="66"/>
      <c r="G38" s="81"/>
      <c r="H38" s="69"/>
    </row>
    <row r="39" spans="1:8">
      <c r="A39" s="58" t="s">
        <v>59</v>
      </c>
      <c r="B39" s="55" t="s">
        <v>102</v>
      </c>
      <c r="C39" s="84">
        <f>SUM(E39+E40+E41+E42+Blad1!J28)</f>
        <v>231508.28862355193</v>
      </c>
      <c r="D39" s="27" t="s">
        <v>94</v>
      </c>
      <c r="E39" s="40">
        <f>SUM(Blad1!F27)</f>
        <v>56498</v>
      </c>
      <c r="F39" s="64" t="s">
        <v>97</v>
      </c>
      <c r="G39" s="79">
        <f>SUM(E39+E40+E41+E42+E43+E44+E45+E46+E47+E48+Blad1!J66)</f>
        <v>533271</v>
      </c>
      <c r="H39" s="67" t="s">
        <v>85</v>
      </c>
    </row>
    <row r="40" spans="1:8">
      <c r="A40" s="59"/>
      <c r="B40" s="56"/>
      <c r="C40" s="85"/>
      <c r="D40" s="27" t="s">
        <v>0</v>
      </c>
      <c r="E40" s="40">
        <f>SUM(Blad1!F28)</f>
        <v>59071</v>
      </c>
      <c r="F40" s="70"/>
      <c r="G40" s="82"/>
      <c r="H40" s="68"/>
    </row>
    <row r="41" spans="1:8">
      <c r="A41" s="59"/>
      <c r="B41" s="56"/>
      <c r="C41" s="85"/>
      <c r="D41" s="27" t="s">
        <v>95</v>
      </c>
      <c r="E41" s="40">
        <f>SUM(Blad1!F29)</f>
        <v>63126</v>
      </c>
      <c r="F41" s="70"/>
      <c r="G41" s="82"/>
      <c r="H41" s="68"/>
    </row>
    <row r="42" spans="1:8">
      <c r="A42" s="60"/>
      <c r="B42" s="57"/>
      <c r="C42" s="86"/>
      <c r="D42" s="28" t="s">
        <v>96</v>
      </c>
      <c r="E42" s="40">
        <f>SUM(Blad1!F30)</f>
        <v>52110</v>
      </c>
      <c r="F42" s="70"/>
      <c r="G42" s="82"/>
      <c r="H42" s="68"/>
    </row>
    <row r="43" spans="1:8">
      <c r="A43" s="58" t="s">
        <v>65</v>
      </c>
      <c r="B43" s="55" t="s">
        <v>103</v>
      </c>
      <c r="C43" s="84">
        <f>SUM(E43+E44+E45+Blad1!J60)</f>
        <v>147227.25506018047</v>
      </c>
      <c r="D43" s="27" t="s">
        <v>1</v>
      </c>
      <c r="E43" s="40">
        <f>SUM(Blad1!F59)</f>
        <v>46059</v>
      </c>
      <c r="F43" s="70"/>
      <c r="G43" s="82"/>
      <c r="H43" s="68"/>
    </row>
    <row r="44" spans="1:8">
      <c r="A44" s="59"/>
      <c r="B44" s="56"/>
      <c r="C44" s="85"/>
      <c r="D44" s="27" t="s">
        <v>89</v>
      </c>
      <c r="E44" s="40">
        <f>SUM(Blad1!F60)</f>
        <v>48225</v>
      </c>
      <c r="F44" s="70"/>
      <c r="G44" s="82"/>
      <c r="H44" s="68"/>
    </row>
    <row r="45" spans="1:8">
      <c r="A45" s="60"/>
      <c r="B45" s="57"/>
      <c r="C45" s="86"/>
      <c r="D45" s="28" t="s">
        <v>90</v>
      </c>
      <c r="E45" s="40">
        <f>SUM(Blad1!F61)</f>
        <v>52496</v>
      </c>
      <c r="F45" s="70"/>
      <c r="G45" s="82"/>
      <c r="H45" s="68"/>
    </row>
    <row r="46" spans="1:8">
      <c r="A46" s="58" t="s">
        <v>66</v>
      </c>
      <c r="B46" s="61" t="s">
        <v>108</v>
      </c>
      <c r="C46" s="90">
        <f>SUM(E46+E47+E48+Blad1!J63)</f>
        <v>154535.45631626763</v>
      </c>
      <c r="D46" s="27" t="s">
        <v>91</v>
      </c>
      <c r="E46" s="40">
        <f>SUM(Blad1!F62)</f>
        <v>49920</v>
      </c>
      <c r="F46" s="70"/>
      <c r="G46" s="82"/>
      <c r="H46" s="68"/>
    </row>
    <row r="47" spans="1:8">
      <c r="A47" s="59"/>
      <c r="B47" s="62"/>
      <c r="C47" s="91"/>
      <c r="D47" s="27" t="s">
        <v>92</v>
      </c>
      <c r="E47" s="40">
        <f>SUM(Blad1!F63)</f>
        <v>57915</v>
      </c>
      <c r="F47" s="70"/>
      <c r="G47" s="82"/>
      <c r="H47" s="68"/>
    </row>
    <row r="48" spans="1:8">
      <c r="A48" s="60"/>
      <c r="B48" s="63"/>
      <c r="C48" s="92"/>
      <c r="D48" s="28" t="s">
        <v>93</v>
      </c>
      <c r="E48" s="40">
        <f>SUM(Blad1!F64)</f>
        <v>46231</v>
      </c>
      <c r="F48" s="71"/>
      <c r="G48" s="83"/>
      <c r="H48" s="69"/>
    </row>
    <row r="49" spans="1:8">
      <c r="A49" s="58" t="s">
        <v>63</v>
      </c>
      <c r="B49" s="55" t="s">
        <v>79</v>
      </c>
      <c r="C49" s="84">
        <f>SUM(E49:E55)</f>
        <v>128754</v>
      </c>
      <c r="D49" s="27" t="s">
        <v>17</v>
      </c>
      <c r="E49" s="40">
        <f>SUM(Blad1!F44)</f>
        <v>5494</v>
      </c>
      <c r="F49" s="64" t="s">
        <v>88</v>
      </c>
      <c r="G49" s="79">
        <f>SUM(E49:E63)</f>
        <v>258541</v>
      </c>
      <c r="H49" s="67" t="s">
        <v>85</v>
      </c>
    </row>
    <row r="50" spans="1:8">
      <c r="A50" s="59"/>
      <c r="B50" s="56"/>
      <c r="C50" s="85"/>
      <c r="D50" s="27" t="s">
        <v>48</v>
      </c>
      <c r="E50" s="40">
        <f>SUM(Blad1!F45)</f>
        <v>31988</v>
      </c>
      <c r="F50" s="70"/>
      <c r="G50" s="82"/>
      <c r="H50" s="68"/>
    </row>
    <row r="51" spans="1:8">
      <c r="A51" s="59"/>
      <c r="B51" s="56"/>
      <c r="C51" s="85"/>
      <c r="D51" s="27" t="s">
        <v>16</v>
      </c>
      <c r="E51" s="40">
        <f>SUM(Blad1!F46)</f>
        <v>5641</v>
      </c>
      <c r="F51" s="70"/>
      <c r="G51" s="82"/>
      <c r="H51" s="68"/>
    </row>
    <row r="52" spans="1:8">
      <c r="A52" s="59"/>
      <c r="B52" s="56"/>
      <c r="C52" s="85"/>
      <c r="D52" s="27" t="s">
        <v>28</v>
      </c>
      <c r="E52" s="40">
        <f>SUM(Blad1!F47)</f>
        <v>13028</v>
      </c>
      <c r="F52" s="70"/>
      <c r="G52" s="82"/>
      <c r="H52" s="68"/>
    </row>
    <row r="53" spans="1:8">
      <c r="A53" s="59"/>
      <c r="B53" s="56"/>
      <c r="C53" s="85"/>
      <c r="D53" s="27" t="s">
        <v>43</v>
      </c>
      <c r="E53" s="40">
        <f>SUM(Blad1!F48)</f>
        <v>38414</v>
      </c>
      <c r="F53" s="70"/>
      <c r="G53" s="82"/>
      <c r="H53" s="68"/>
    </row>
    <row r="54" spans="1:8">
      <c r="A54" s="59"/>
      <c r="B54" s="56"/>
      <c r="C54" s="85"/>
      <c r="D54" s="27" t="s">
        <v>44</v>
      </c>
      <c r="E54" s="40">
        <f>SUM(Blad1!F49)</f>
        <v>18580</v>
      </c>
      <c r="F54" s="70"/>
      <c r="G54" s="82"/>
      <c r="H54" s="68"/>
    </row>
    <row r="55" spans="1:8">
      <c r="A55" s="60"/>
      <c r="B55" s="57"/>
      <c r="C55" s="86"/>
      <c r="D55" s="28" t="s">
        <v>27</v>
      </c>
      <c r="E55" s="40">
        <f>SUM(Blad1!F50)</f>
        <v>15609</v>
      </c>
      <c r="F55" s="70"/>
      <c r="G55" s="82"/>
      <c r="H55" s="68"/>
    </row>
    <row r="56" spans="1:8">
      <c r="A56" s="58" t="s">
        <v>64</v>
      </c>
      <c r="B56" s="55" t="s">
        <v>80</v>
      </c>
      <c r="C56" s="84">
        <f>SUM(E56:E63)</f>
        <v>129787</v>
      </c>
      <c r="D56" s="27" t="s">
        <v>19</v>
      </c>
      <c r="E56" s="40">
        <f>SUM(Blad1!F51)</f>
        <v>5185</v>
      </c>
      <c r="F56" s="70"/>
      <c r="G56" s="82"/>
      <c r="H56" s="68"/>
    </row>
    <row r="57" spans="1:8">
      <c r="A57" s="59"/>
      <c r="B57" s="56"/>
      <c r="C57" s="85"/>
      <c r="D57" s="27" t="s">
        <v>46</v>
      </c>
      <c r="E57" s="40">
        <f>SUM(Blad1!F52)</f>
        <v>8805</v>
      </c>
      <c r="F57" s="70"/>
      <c r="G57" s="82"/>
      <c r="H57" s="68"/>
    </row>
    <row r="58" spans="1:8">
      <c r="A58" s="59"/>
      <c r="B58" s="56"/>
      <c r="C58" s="85"/>
      <c r="D58" s="27" t="s">
        <v>18</v>
      </c>
      <c r="E58" s="40">
        <f>SUM(Blad1!F53)</f>
        <v>6757</v>
      </c>
      <c r="F58" s="70"/>
      <c r="G58" s="82"/>
      <c r="H58" s="68"/>
    </row>
    <row r="59" spans="1:8">
      <c r="A59" s="59"/>
      <c r="B59" s="56"/>
      <c r="C59" s="85"/>
      <c r="D59" s="27" t="s">
        <v>42</v>
      </c>
      <c r="E59" s="40">
        <f>SUM(Blad1!F54)</f>
        <v>23870</v>
      </c>
      <c r="F59" s="70"/>
      <c r="G59" s="82"/>
      <c r="H59" s="68"/>
    </row>
    <row r="60" spans="1:8">
      <c r="A60" s="59"/>
      <c r="B60" s="56"/>
      <c r="C60" s="85"/>
      <c r="D60" s="27" t="s">
        <v>45</v>
      </c>
      <c r="E60" s="40">
        <f>SUM(Blad1!F55)</f>
        <v>52859</v>
      </c>
      <c r="F60" s="70"/>
      <c r="G60" s="82"/>
      <c r="H60" s="68"/>
    </row>
    <row r="61" spans="1:8">
      <c r="A61" s="59"/>
      <c r="B61" s="56"/>
      <c r="C61" s="85"/>
      <c r="D61" s="27" t="s">
        <v>29</v>
      </c>
      <c r="E61" s="40">
        <f>SUM(Blad1!F56)</f>
        <v>10754</v>
      </c>
      <c r="F61" s="70"/>
      <c r="G61" s="82"/>
      <c r="H61" s="68"/>
    </row>
    <row r="62" spans="1:8">
      <c r="A62" s="59"/>
      <c r="B62" s="56"/>
      <c r="C62" s="85"/>
      <c r="D62" s="27" t="s">
        <v>47</v>
      </c>
      <c r="E62" s="40">
        <f>SUM(Blad1!F57)</f>
        <v>12565</v>
      </c>
      <c r="F62" s="70"/>
      <c r="G62" s="82"/>
      <c r="H62" s="68"/>
    </row>
    <row r="63" spans="1:8">
      <c r="A63" s="60"/>
      <c r="B63" s="57"/>
      <c r="C63" s="86"/>
      <c r="D63" s="28" t="s">
        <v>30</v>
      </c>
      <c r="E63" s="42">
        <f>SUM(Blad1!F58)</f>
        <v>8992</v>
      </c>
      <c r="F63" s="71"/>
      <c r="G63" s="83"/>
      <c r="H63" s="69"/>
    </row>
    <row r="64" spans="1:8">
      <c r="A64" s="43" t="s">
        <v>107</v>
      </c>
      <c r="B64" s="45"/>
      <c r="C64" s="25"/>
      <c r="D64" s="18"/>
      <c r="E64" s="51">
        <f>SUM(Blad1!F65)</f>
        <v>1620</v>
      </c>
      <c r="F64" s="18"/>
      <c r="G64" s="25"/>
      <c r="H64" s="46"/>
    </row>
    <row r="65" spans="1:8" ht="13" thickBot="1">
      <c r="A65" s="44" t="s">
        <v>71</v>
      </c>
      <c r="B65" s="47"/>
      <c r="C65" s="50">
        <f>SUM(C6:C63)</f>
        <v>1615084</v>
      </c>
      <c r="D65" s="48"/>
      <c r="E65" s="50">
        <f>SUM(E6:E64)</f>
        <v>1615084</v>
      </c>
      <c r="F65" s="48"/>
      <c r="G65" s="50">
        <f>SUM(G6:G63)</f>
        <v>1615084</v>
      </c>
      <c r="H65" s="49"/>
    </row>
    <row r="68" spans="1:8">
      <c r="A68" s="22" t="s">
        <v>106</v>
      </c>
    </row>
  </sheetData>
  <mergeCells count="53">
    <mergeCell ref="A4:B4"/>
    <mergeCell ref="F4:H4"/>
    <mergeCell ref="A6:A11"/>
    <mergeCell ref="B6:B11"/>
    <mergeCell ref="F6:F19"/>
    <mergeCell ref="H6:H19"/>
    <mergeCell ref="A12:A16"/>
    <mergeCell ref="B12:B16"/>
    <mergeCell ref="A17:A20"/>
    <mergeCell ref="B17:B20"/>
    <mergeCell ref="F20:F30"/>
    <mergeCell ref="H20:H30"/>
    <mergeCell ref="A21:A25"/>
    <mergeCell ref="B21:B25"/>
    <mergeCell ref="A26:A28"/>
    <mergeCell ref="B26:B28"/>
    <mergeCell ref="A29:A32"/>
    <mergeCell ref="B29:B32"/>
    <mergeCell ref="F31:F38"/>
    <mergeCell ref="H31:H38"/>
    <mergeCell ref="A33:A38"/>
    <mergeCell ref="B33:B38"/>
    <mergeCell ref="C29:C32"/>
    <mergeCell ref="A39:A42"/>
    <mergeCell ref="B39:B42"/>
    <mergeCell ref="F39:F48"/>
    <mergeCell ref="H39:H48"/>
    <mergeCell ref="A43:A45"/>
    <mergeCell ref="B43:B45"/>
    <mergeCell ref="A46:A48"/>
    <mergeCell ref="B46:B48"/>
    <mergeCell ref="G39:G48"/>
    <mergeCell ref="C43:C45"/>
    <mergeCell ref="C46:C48"/>
    <mergeCell ref="A49:A55"/>
    <mergeCell ref="B49:B55"/>
    <mergeCell ref="F49:F63"/>
    <mergeCell ref="H49:H63"/>
    <mergeCell ref="A56:A63"/>
    <mergeCell ref="B56:B63"/>
    <mergeCell ref="C56:C63"/>
    <mergeCell ref="G49:G63"/>
    <mergeCell ref="C49:C55"/>
    <mergeCell ref="G6:G19"/>
    <mergeCell ref="G20:G30"/>
    <mergeCell ref="G31:G38"/>
    <mergeCell ref="C33:C38"/>
    <mergeCell ref="C39:C42"/>
    <mergeCell ref="C6:C11"/>
    <mergeCell ref="C12:C16"/>
    <mergeCell ref="C17:C20"/>
    <mergeCell ref="C21:C25"/>
    <mergeCell ref="C26:C28"/>
  </mergeCells>
  <pageMargins left="0.7" right="0.7" top="0.75" bottom="0.75" header="0.3" footer="0.3"/>
  <pageSetup paperSize="9" scale="60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selection activeCell="I54" sqref="I54"/>
    </sheetView>
  </sheetViews>
  <sheetFormatPr baseColWidth="10" defaultColWidth="8.83203125" defaultRowHeight="12" x14ac:dyDescent="0"/>
  <cols>
    <col min="3" max="3" width="22.33203125" bestFit="1" customWidth="1"/>
    <col min="4" max="5" width="12.5" customWidth="1"/>
    <col min="6" max="6" width="12.5" style="1" customWidth="1"/>
    <col min="8" max="8" width="10.83203125" bestFit="1" customWidth="1"/>
    <col min="10" max="10" width="21.1640625" bestFit="1" customWidth="1"/>
    <col min="11" max="11" width="12.5" bestFit="1" customWidth="1"/>
  </cols>
  <sheetData>
    <row r="1" spans="1:11">
      <c r="A1" s="22" t="s">
        <v>99</v>
      </c>
    </row>
    <row r="4" spans="1:11">
      <c r="A4" t="s">
        <v>50</v>
      </c>
      <c r="B4" t="s">
        <v>50</v>
      </c>
      <c r="C4" t="s">
        <v>50</v>
      </c>
    </row>
    <row r="5" spans="1:11" ht="13" thickBot="1"/>
    <row r="6" spans="1:11">
      <c r="B6" s="13" t="s">
        <v>51</v>
      </c>
      <c r="C6" s="11" t="s">
        <v>69</v>
      </c>
      <c r="D6" s="11" t="s">
        <v>52</v>
      </c>
      <c r="E6" s="11" t="s">
        <v>53</v>
      </c>
      <c r="F6" s="4" t="s">
        <v>100</v>
      </c>
    </row>
    <row r="7" spans="1:11">
      <c r="B7" s="2" t="s">
        <v>54</v>
      </c>
      <c r="C7" s="14" t="s">
        <v>33</v>
      </c>
      <c r="D7" s="5">
        <v>7224</v>
      </c>
      <c r="E7" s="5">
        <v>7145</v>
      </c>
      <c r="F7" s="6">
        <f>D7+E7</f>
        <v>14369</v>
      </c>
    </row>
    <row r="8" spans="1:11">
      <c r="B8" s="2"/>
      <c r="C8" s="15" t="s">
        <v>8</v>
      </c>
      <c r="D8" s="5">
        <v>4952</v>
      </c>
      <c r="E8" s="5">
        <v>5253</v>
      </c>
      <c r="F8" s="6">
        <f t="shared" ref="F8:F64" si="0">D8+E8</f>
        <v>10205</v>
      </c>
    </row>
    <row r="9" spans="1:11">
      <c r="B9" s="2"/>
      <c r="C9" s="15" t="s">
        <v>6</v>
      </c>
      <c r="D9" s="5">
        <v>7428</v>
      </c>
      <c r="E9" s="5">
        <v>7608</v>
      </c>
      <c r="F9" s="6">
        <f t="shared" si="0"/>
        <v>15036</v>
      </c>
      <c r="K9" s="19">
        <f>SUM(F7:F12)</f>
        <v>73321</v>
      </c>
    </row>
    <row r="10" spans="1:11">
      <c r="B10" s="2"/>
      <c r="C10" s="15" t="s">
        <v>7</v>
      </c>
      <c r="D10" s="5">
        <v>4430</v>
      </c>
      <c r="E10" s="5">
        <v>4498</v>
      </c>
      <c r="F10" s="6">
        <f t="shared" si="0"/>
        <v>8928</v>
      </c>
    </row>
    <row r="11" spans="1:11">
      <c r="B11" s="2"/>
      <c r="C11" s="15" t="s">
        <v>35</v>
      </c>
      <c r="D11" s="5">
        <v>6214</v>
      </c>
      <c r="E11" s="5">
        <v>6266</v>
      </c>
      <c r="F11" s="6">
        <f t="shared" si="0"/>
        <v>12480</v>
      </c>
    </row>
    <row r="12" spans="1:11">
      <c r="B12" s="12"/>
      <c r="C12" s="16" t="s">
        <v>9</v>
      </c>
      <c r="D12" s="7">
        <v>6098</v>
      </c>
      <c r="E12" s="7">
        <v>6205</v>
      </c>
      <c r="F12" s="8">
        <f t="shared" si="0"/>
        <v>12303</v>
      </c>
    </row>
    <row r="13" spans="1:11">
      <c r="B13" s="2" t="s">
        <v>55</v>
      </c>
      <c r="C13" s="15" t="s">
        <v>21</v>
      </c>
      <c r="D13" s="5">
        <v>4637</v>
      </c>
      <c r="E13" s="5">
        <v>4913</v>
      </c>
      <c r="F13" s="6">
        <f t="shared" si="0"/>
        <v>9550</v>
      </c>
    </row>
    <row r="14" spans="1:11">
      <c r="B14" s="2"/>
      <c r="C14" s="15" t="s">
        <v>10</v>
      </c>
      <c r="D14" s="5">
        <v>2283</v>
      </c>
      <c r="E14" s="5">
        <v>2457</v>
      </c>
      <c r="F14" s="6">
        <f t="shared" si="0"/>
        <v>4740</v>
      </c>
    </row>
    <row r="15" spans="1:11">
      <c r="B15" s="2"/>
      <c r="C15" s="15" t="s">
        <v>11</v>
      </c>
      <c r="D15" s="5">
        <v>3137</v>
      </c>
      <c r="E15" s="5">
        <v>3383</v>
      </c>
      <c r="F15" s="6">
        <f t="shared" si="0"/>
        <v>6520</v>
      </c>
      <c r="K15" s="19">
        <f>SUM(F13:F17)</f>
        <v>41931</v>
      </c>
    </row>
    <row r="16" spans="1:11">
      <c r="B16" s="2"/>
      <c r="C16" s="15" t="s">
        <v>22</v>
      </c>
      <c r="D16" s="5">
        <v>4322</v>
      </c>
      <c r="E16" s="5">
        <v>4570</v>
      </c>
      <c r="F16" s="6">
        <f t="shared" si="0"/>
        <v>8892</v>
      </c>
    </row>
    <row r="17" spans="2:11">
      <c r="B17" s="12"/>
      <c r="C17" s="16" t="s">
        <v>41</v>
      </c>
      <c r="D17" s="7">
        <v>6150</v>
      </c>
      <c r="E17" s="7">
        <v>6079</v>
      </c>
      <c r="F17" s="8">
        <f t="shared" si="0"/>
        <v>12229</v>
      </c>
    </row>
    <row r="18" spans="2:11">
      <c r="B18" s="2" t="s">
        <v>56</v>
      </c>
      <c r="C18" s="15" t="s">
        <v>23</v>
      </c>
      <c r="D18" s="5">
        <v>6184</v>
      </c>
      <c r="E18" s="5">
        <v>6645</v>
      </c>
      <c r="F18" s="6">
        <f t="shared" si="0"/>
        <v>12829</v>
      </c>
    </row>
    <row r="19" spans="2:11">
      <c r="B19" s="2"/>
      <c r="C19" s="15" t="s">
        <v>37</v>
      </c>
      <c r="D19" s="5">
        <v>28216</v>
      </c>
      <c r="E19" s="5">
        <v>28357</v>
      </c>
      <c r="F19" s="6">
        <f t="shared" si="0"/>
        <v>56573</v>
      </c>
      <c r="K19" s="19">
        <f>SUM(F18:F21)</f>
        <v>159796</v>
      </c>
    </row>
    <row r="20" spans="2:11">
      <c r="B20" s="2"/>
      <c r="C20" s="15" t="s">
        <v>34</v>
      </c>
      <c r="D20" s="5">
        <v>26783</v>
      </c>
      <c r="E20" s="5">
        <v>26242</v>
      </c>
      <c r="F20" s="6">
        <f t="shared" si="0"/>
        <v>53025</v>
      </c>
    </row>
    <row r="21" spans="2:11">
      <c r="B21" s="12"/>
      <c r="C21" s="16" t="s">
        <v>36</v>
      </c>
      <c r="D21" s="7">
        <v>18703</v>
      </c>
      <c r="E21" s="7">
        <v>18666</v>
      </c>
      <c r="F21" s="8">
        <f t="shared" si="0"/>
        <v>37369</v>
      </c>
    </row>
    <row r="22" spans="2:11">
      <c r="B22" s="2" t="s">
        <v>57</v>
      </c>
      <c r="C22" s="15" t="s">
        <v>12</v>
      </c>
      <c r="D22" s="5">
        <v>13794</v>
      </c>
      <c r="E22" s="5">
        <v>14280</v>
      </c>
      <c r="F22" s="6">
        <f t="shared" si="0"/>
        <v>28074</v>
      </c>
    </row>
    <row r="23" spans="2:11">
      <c r="B23" s="2"/>
      <c r="C23" s="15" t="s">
        <v>32</v>
      </c>
      <c r="D23" s="5">
        <v>21130</v>
      </c>
      <c r="E23" s="5">
        <v>20979</v>
      </c>
      <c r="F23" s="6">
        <f t="shared" si="0"/>
        <v>42109</v>
      </c>
    </row>
    <row r="24" spans="2:11">
      <c r="B24" s="2"/>
      <c r="C24" s="15" t="s">
        <v>5</v>
      </c>
      <c r="D24" s="5">
        <v>12437</v>
      </c>
      <c r="E24" s="5">
        <v>12495</v>
      </c>
      <c r="F24" s="6">
        <f t="shared" si="0"/>
        <v>24932</v>
      </c>
      <c r="K24" s="19">
        <f>SUM(F22:F26)</f>
        <v>122739</v>
      </c>
    </row>
    <row r="25" spans="2:11">
      <c r="B25" s="2"/>
      <c r="C25" s="15" t="s">
        <v>58</v>
      </c>
      <c r="D25" s="5">
        <v>7344</v>
      </c>
      <c r="E25" s="5">
        <v>7706</v>
      </c>
      <c r="F25" s="6">
        <f t="shared" si="0"/>
        <v>15050</v>
      </c>
    </row>
    <row r="26" spans="2:11">
      <c r="B26" s="12"/>
      <c r="C26" s="16" t="s">
        <v>4</v>
      </c>
      <c r="D26" s="7">
        <v>6267</v>
      </c>
      <c r="E26" s="7">
        <v>6307</v>
      </c>
      <c r="F26" s="8">
        <f t="shared" si="0"/>
        <v>12574</v>
      </c>
    </row>
    <row r="27" spans="2:11">
      <c r="B27" s="2" t="s">
        <v>59</v>
      </c>
      <c r="C27" s="15" t="s">
        <v>94</v>
      </c>
      <c r="D27" s="5">
        <v>29267</v>
      </c>
      <c r="E27" s="5">
        <v>27231</v>
      </c>
      <c r="F27" s="6">
        <f t="shared" si="0"/>
        <v>56498</v>
      </c>
    </row>
    <row r="28" spans="2:11">
      <c r="B28" s="2"/>
      <c r="C28" s="15" t="s">
        <v>0</v>
      </c>
      <c r="D28" s="5">
        <v>29567</v>
      </c>
      <c r="E28" s="5">
        <v>29504</v>
      </c>
      <c r="F28" s="6">
        <f t="shared" si="0"/>
        <v>59071</v>
      </c>
      <c r="H28" s="30">
        <f>SUM(F27:F30)</f>
        <v>230805</v>
      </c>
      <c r="I28" s="31">
        <f>SUM(H28/H66)</f>
        <v>0.4341287799703189</v>
      </c>
      <c r="J28" s="30">
        <f>SUM(I28*F65)</f>
        <v>703.28862355191666</v>
      </c>
      <c r="K28" s="30">
        <f>SUM(H28+J28)</f>
        <v>231508.28862355193</v>
      </c>
    </row>
    <row r="29" spans="2:11">
      <c r="B29" s="2"/>
      <c r="C29" s="15" t="s">
        <v>95</v>
      </c>
      <c r="D29" s="5">
        <v>32819</v>
      </c>
      <c r="E29" s="5">
        <v>30307</v>
      </c>
      <c r="F29" s="6">
        <f t="shared" si="0"/>
        <v>63126</v>
      </c>
      <c r="H29" s="31"/>
      <c r="I29" s="31"/>
      <c r="J29" s="31"/>
      <c r="K29" s="31"/>
    </row>
    <row r="30" spans="2:11">
      <c r="B30" s="12"/>
      <c r="C30" s="16" t="s">
        <v>96</v>
      </c>
      <c r="D30" s="7">
        <v>26294</v>
      </c>
      <c r="E30" s="7">
        <v>25816</v>
      </c>
      <c r="F30" s="8">
        <f t="shared" si="0"/>
        <v>52110</v>
      </c>
      <c r="H30" s="31"/>
      <c r="I30" s="31"/>
      <c r="J30" s="31"/>
      <c r="K30" s="31"/>
    </row>
    <row r="31" spans="2:11">
      <c r="B31" s="2" t="s">
        <v>60</v>
      </c>
      <c r="C31" s="15" t="s">
        <v>38</v>
      </c>
      <c r="D31" s="5">
        <v>19503</v>
      </c>
      <c r="E31" s="5">
        <v>19116</v>
      </c>
      <c r="F31" s="6">
        <f t="shared" si="0"/>
        <v>38619</v>
      </c>
      <c r="H31" s="31"/>
      <c r="I31" s="31"/>
      <c r="J31" s="31"/>
      <c r="K31" s="31"/>
    </row>
    <row r="32" spans="2:11">
      <c r="B32" s="2"/>
      <c r="C32" s="15" t="s">
        <v>26</v>
      </c>
      <c r="D32" s="5">
        <v>4560</v>
      </c>
      <c r="E32" s="5">
        <v>4714</v>
      </c>
      <c r="F32" s="6">
        <f t="shared" si="0"/>
        <v>9274</v>
      </c>
      <c r="H32" s="31"/>
      <c r="I32" s="31"/>
      <c r="J32" s="31"/>
      <c r="K32" s="30">
        <f>SUM(F31:F34)</f>
        <v>98277</v>
      </c>
    </row>
    <row r="33" spans="2:11">
      <c r="B33" s="2"/>
      <c r="C33" s="15" t="s">
        <v>13</v>
      </c>
      <c r="D33" s="5">
        <v>19689</v>
      </c>
      <c r="E33" s="5">
        <v>19630</v>
      </c>
      <c r="F33" s="6">
        <f t="shared" si="0"/>
        <v>39319</v>
      </c>
      <c r="H33" s="31"/>
      <c r="I33" s="31"/>
      <c r="J33" s="31"/>
      <c r="K33" s="31"/>
    </row>
    <row r="34" spans="2:11">
      <c r="B34" s="12"/>
      <c r="C34" s="16" t="s">
        <v>14</v>
      </c>
      <c r="D34" s="7">
        <v>5494</v>
      </c>
      <c r="E34" s="7">
        <v>5571</v>
      </c>
      <c r="F34" s="8">
        <f t="shared" si="0"/>
        <v>11065</v>
      </c>
      <c r="H34" s="31"/>
      <c r="I34" s="31"/>
      <c r="J34" s="31"/>
      <c r="K34" s="31"/>
    </row>
    <row r="35" spans="2:11">
      <c r="B35" s="2" t="s">
        <v>61</v>
      </c>
      <c r="C35" s="15" t="s">
        <v>2</v>
      </c>
      <c r="D35" s="5">
        <v>17779</v>
      </c>
      <c r="E35" s="5">
        <v>17953</v>
      </c>
      <c r="F35" s="6">
        <f t="shared" si="0"/>
        <v>35732</v>
      </c>
      <c r="H35" s="31"/>
      <c r="I35" s="31"/>
      <c r="J35" s="31"/>
      <c r="K35" s="31"/>
    </row>
    <row r="36" spans="2:11">
      <c r="B36" s="2"/>
      <c r="C36" s="15" t="s">
        <v>31</v>
      </c>
      <c r="D36" s="5">
        <v>31129</v>
      </c>
      <c r="E36" s="5">
        <v>30849</v>
      </c>
      <c r="F36" s="6">
        <f t="shared" si="0"/>
        <v>61978</v>
      </c>
      <c r="H36" s="31"/>
      <c r="I36" s="31"/>
      <c r="J36" s="31"/>
      <c r="K36" s="30">
        <f>SUM(F35:F37)</f>
        <v>133857</v>
      </c>
    </row>
    <row r="37" spans="2:11">
      <c r="B37" s="12"/>
      <c r="C37" s="16" t="s">
        <v>3</v>
      </c>
      <c r="D37" s="7">
        <v>18145</v>
      </c>
      <c r="E37" s="7">
        <v>18002</v>
      </c>
      <c r="F37" s="8">
        <f t="shared" si="0"/>
        <v>36147</v>
      </c>
      <c r="H37" s="31"/>
      <c r="I37" s="31"/>
      <c r="J37" s="31"/>
      <c r="K37" s="31"/>
    </row>
    <row r="38" spans="2:11">
      <c r="B38" s="2" t="s">
        <v>62</v>
      </c>
      <c r="C38" s="15" t="s">
        <v>15</v>
      </c>
      <c r="D38" s="5">
        <v>4239</v>
      </c>
      <c r="E38" s="5">
        <v>4323</v>
      </c>
      <c r="F38" s="6">
        <f t="shared" si="0"/>
        <v>8562</v>
      </c>
      <c r="H38" s="31"/>
      <c r="I38" s="31"/>
      <c r="J38" s="31"/>
      <c r="K38" s="31"/>
    </row>
    <row r="39" spans="2:11">
      <c r="B39" s="2"/>
      <c r="C39" s="15" t="s">
        <v>39</v>
      </c>
      <c r="D39" s="5">
        <v>53641</v>
      </c>
      <c r="E39" s="5">
        <v>52354</v>
      </c>
      <c r="F39" s="6">
        <f t="shared" si="0"/>
        <v>105995</v>
      </c>
      <c r="H39" s="31"/>
      <c r="I39" s="31"/>
      <c r="J39" s="31"/>
      <c r="K39" s="31"/>
    </row>
    <row r="40" spans="2:11">
      <c r="B40" s="2"/>
      <c r="C40" s="15" t="s">
        <v>24</v>
      </c>
      <c r="D40" s="5">
        <v>16844</v>
      </c>
      <c r="E40" s="5">
        <v>16909</v>
      </c>
      <c r="F40" s="6">
        <f t="shared" si="0"/>
        <v>33753</v>
      </c>
      <c r="H40" s="31"/>
      <c r="I40" s="31"/>
      <c r="J40" s="31"/>
      <c r="K40" s="30">
        <f>SUM(F38:F43)</f>
        <v>193351</v>
      </c>
    </row>
    <row r="41" spans="2:11">
      <c r="B41" s="2"/>
      <c r="C41" s="15" t="s">
        <v>25</v>
      </c>
      <c r="D41" s="5">
        <v>5041</v>
      </c>
      <c r="E41" s="5">
        <v>5258</v>
      </c>
      <c r="F41" s="6">
        <f t="shared" si="0"/>
        <v>10299</v>
      </c>
      <c r="H41" s="31"/>
      <c r="I41" s="31"/>
      <c r="J41" s="31"/>
      <c r="K41" s="31"/>
    </row>
    <row r="42" spans="2:11">
      <c r="B42" s="2"/>
      <c r="C42" s="15" t="s">
        <v>20</v>
      </c>
      <c r="D42" s="5">
        <v>5615</v>
      </c>
      <c r="E42" s="5">
        <v>5916</v>
      </c>
      <c r="F42" s="6">
        <f t="shared" si="0"/>
        <v>11531</v>
      </c>
      <c r="H42" s="31"/>
      <c r="I42" s="31"/>
      <c r="J42" s="31"/>
      <c r="K42" s="31"/>
    </row>
    <row r="43" spans="2:11">
      <c r="B43" s="12"/>
      <c r="C43" s="16" t="s">
        <v>40</v>
      </c>
      <c r="D43" s="7">
        <v>11501</v>
      </c>
      <c r="E43" s="7">
        <v>11710</v>
      </c>
      <c r="F43" s="8">
        <f t="shared" si="0"/>
        <v>23211</v>
      </c>
      <c r="H43" s="31"/>
      <c r="I43" s="31"/>
      <c r="J43" s="31"/>
      <c r="K43" s="31"/>
    </row>
    <row r="44" spans="2:11">
      <c r="B44" s="2" t="s">
        <v>63</v>
      </c>
      <c r="C44" s="15" t="s">
        <v>17</v>
      </c>
      <c r="D44" s="5">
        <v>2730</v>
      </c>
      <c r="E44" s="5">
        <v>2764</v>
      </c>
      <c r="F44" s="6">
        <f t="shared" si="0"/>
        <v>5494</v>
      </c>
      <c r="H44" s="31"/>
      <c r="I44" s="31"/>
      <c r="J44" s="31"/>
      <c r="K44" s="31"/>
    </row>
    <row r="45" spans="2:11">
      <c r="B45" s="2"/>
      <c r="C45" s="15" t="s">
        <v>48</v>
      </c>
      <c r="D45" s="5">
        <v>16022</v>
      </c>
      <c r="E45" s="5">
        <v>15966</v>
      </c>
      <c r="F45" s="6">
        <f t="shared" si="0"/>
        <v>31988</v>
      </c>
      <c r="H45" s="31"/>
      <c r="I45" s="31"/>
      <c r="J45" s="31"/>
      <c r="K45" s="31"/>
    </row>
    <row r="46" spans="2:11">
      <c r="B46" s="2"/>
      <c r="C46" s="15" t="s">
        <v>16</v>
      </c>
      <c r="D46" s="5">
        <v>2782</v>
      </c>
      <c r="E46" s="5">
        <v>2859</v>
      </c>
      <c r="F46" s="6">
        <f t="shared" si="0"/>
        <v>5641</v>
      </c>
      <c r="H46" s="31"/>
      <c r="I46" s="31"/>
      <c r="J46" s="31"/>
      <c r="K46" s="31"/>
    </row>
    <row r="47" spans="2:11">
      <c r="B47" s="2"/>
      <c r="C47" s="15" t="s">
        <v>28</v>
      </c>
      <c r="D47" s="5">
        <v>6401</v>
      </c>
      <c r="E47" s="5">
        <v>6627</v>
      </c>
      <c r="F47" s="6">
        <f t="shared" si="0"/>
        <v>13028</v>
      </c>
      <c r="H47" s="31"/>
      <c r="I47" s="31"/>
      <c r="J47" s="31"/>
      <c r="K47" s="30">
        <f>SUM(F44:F50)</f>
        <v>128754</v>
      </c>
    </row>
    <row r="48" spans="2:11">
      <c r="B48" s="2"/>
      <c r="C48" s="15" t="s">
        <v>43</v>
      </c>
      <c r="D48" s="5">
        <v>19249</v>
      </c>
      <c r="E48" s="5">
        <v>19165</v>
      </c>
      <c r="F48" s="6">
        <f t="shared" si="0"/>
        <v>38414</v>
      </c>
      <c r="H48" s="31"/>
      <c r="I48" s="31"/>
      <c r="J48" s="31"/>
      <c r="K48" s="31"/>
    </row>
    <row r="49" spans="2:11">
      <c r="B49" s="2"/>
      <c r="C49" s="15" t="s">
        <v>44</v>
      </c>
      <c r="D49" s="5">
        <v>9375</v>
      </c>
      <c r="E49" s="5">
        <v>9205</v>
      </c>
      <c r="F49" s="6">
        <f t="shared" si="0"/>
        <v>18580</v>
      </c>
      <c r="H49" s="31"/>
      <c r="I49" s="31"/>
      <c r="J49" s="31"/>
      <c r="K49" s="31"/>
    </row>
    <row r="50" spans="2:11">
      <c r="B50" s="12"/>
      <c r="C50" s="16" t="s">
        <v>27</v>
      </c>
      <c r="D50" s="7">
        <v>7625</v>
      </c>
      <c r="E50" s="7">
        <v>7984</v>
      </c>
      <c r="F50" s="8">
        <f t="shared" si="0"/>
        <v>15609</v>
      </c>
      <c r="H50" s="31"/>
      <c r="I50" s="31"/>
      <c r="J50" s="31"/>
      <c r="K50" s="31"/>
    </row>
    <row r="51" spans="2:11">
      <c r="B51" s="2" t="s">
        <v>64</v>
      </c>
      <c r="C51" s="15" t="s">
        <v>19</v>
      </c>
      <c r="D51" s="5">
        <v>2551</v>
      </c>
      <c r="E51" s="5">
        <v>2634</v>
      </c>
      <c r="F51" s="6">
        <f t="shared" si="0"/>
        <v>5185</v>
      </c>
      <c r="H51" s="31"/>
      <c r="I51" s="31"/>
      <c r="J51" s="31"/>
      <c r="K51" s="31"/>
    </row>
    <row r="52" spans="2:11">
      <c r="B52" s="2"/>
      <c r="C52" s="15" t="s">
        <v>46</v>
      </c>
      <c r="D52" s="5">
        <v>4443</v>
      </c>
      <c r="E52" s="5">
        <v>4362</v>
      </c>
      <c r="F52" s="6">
        <f t="shared" si="0"/>
        <v>8805</v>
      </c>
      <c r="H52" s="31"/>
      <c r="I52" s="31"/>
      <c r="J52" s="31"/>
      <c r="K52" s="31"/>
    </row>
    <row r="53" spans="2:11">
      <c r="B53" s="2"/>
      <c r="C53" s="15" t="s">
        <v>18</v>
      </c>
      <c r="D53" s="5">
        <v>3338</v>
      </c>
      <c r="E53" s="5">
        <v>3419</v>
      </c>
      <c r="F53" s="6">
        <f t="shared" si="0"/>
        <v>6757</v>
      </c>
      <c r="H53" s="31"/>
      <c r="I53" s="31"/>
      <c r="J53" s="31"/>
      <c r="K53" s="31"/>
    </row>
    <row r="54" spans="2:11">
      <c r="B54" s="2"/>
      <c r="C54" s="15" t="s">
        <v>42</v>
      </c>
      <c r="D54" s="5">
        <v>11905</v>
      </c>
      <c r="E54" s="5">
        <v>11965</v>
      </c>
      <c r="F54" s="6">
        <f t="shared" si="0"/>
        <v>23870</v>
      </c>
      <c r="H54" s="31"/>
      <c r="I54" s="31"/>
      <c r="J54" s="31"/>
      <c r="K54" s="31"/>
    </row>
    <row r="55" spans="2:11">
      <c r="B55" s="2"/>
      <c r="C55" s="15" t="s">
        <v>45</v>
      </c>
      <c r="D55" s="5">
        <v>26184</v>
      </c>
      <c r="E55" s="5">
        <v>26675</v>
      </c>
      <c r="F55" s="6">
        <f t="shared" si="0"/>
        <v>52859</v>
      </c>
      <c r="H55" s="31"/>
      <c r="I55" s="31"/>
      <c r="J55" s="31"/>
      <c r="K55" s="30">
        <f>SUM(F51:F58)</f>
        <v>129787</v>
      </c>
    </row>
    <row r="56" spans="2:11">
      <c r="B56" s="2"/>
      <c r="C56" s="15" t="s">
        <v>29</v>
      </c>
      <c r="D56" s="5">
        <v>5318</v>
      </c>
      <c r="E56" s="5">
        <v>5436</v>
      </c>
      <c r="F56" s="6">
        <f t="shared" si="0"/>
        <v>10754</v>
      </c>
      <c r="H56" s="31"/>
      <c r="I56" s="31"/>
      <c r="J56" s="31"/>
      <c r="K56" s="31"/>
    </row>
    <row r="57" spans="2:11">
      <c r="B57" s="2"/>
      <c r="C57" s="15" t="s">
        <v>47</v>
      </c>
      <c r="D57" s="5">
        <v>6252</v>
      </c>
      <c r="E57" s="5">
        <v>6313</v>
      </c>
      <c r="F57" s="6">
        <f t="shared" si="0"/>
        <v>12565</v>
      </c>
      <c r="H57" s="31"/>
      <c r="I57" s="31"/>
      <c r="J57" s="31"/>
      <c r="K57" s="31"/>
    </row>
    <row r="58" spans="2:11">
      <c r="B58" s="12"/>
      <c r="C58" s="16" t="s">
        <v>30</v>
      </c>
      <c r="D58" s="7">
        <v>4367</v>
      </c>
      <c r="E58" s="7">
        <v>4625</v>
      </c>
      <c r="F58" s="8">
        <f t="shared" si="0"/>
        <v>8992</v>
      </c>
      <c r="H58" s="31"/>
      <c r="I58" s="31"/>
      <c r="J58" s="31"/>
      <c r="K58" s="31"/>
    </row>
    <row r="59" spans="2:11">
      <c r="B59" s="2" t="s">
        <v>65</v>
      </c>
      <c r="C59" s="15" t="s">
        <v>1</v>
      </c>
      <c r="D59" s="5">
        <v>22651</v>
      </c>
      <c r="E59" s="5">
        <v>23408</v>
      </c>
      <c r="F59" s="6">
        <f t="shared" si="0"/>
        <v>46059</v>
      </c>
      <c r="H59" s="31"/>
      <c r="I59" s="31"/>
      <c r="J59" s="31"/>
      <c r="K59" s="31"/>
    </row>
    <row r="60" spans="2:11">
      <c r="B60" s="2"/>
      <c r="C60" s="15" t="s">
        <v>89</v>
      </c>
      <c r="D60" s="5">
        <v>24297</v>
      </c>
      <c r="E60" s="5">
        <v>23928</v>
      </c>
      <c r="F60" s="6">
        <f t="shared" si="0"/>
        <v>48225</v>
      </c>
      <c r="H60" s="30">
        <f>SUM(F59:F61)</f>
        <v>146780</v>
      </c>
      <c r="I60" s="31">
        <f>SUM(H60/H66)</f>
        <v>0.2760833704817634</v>
      </c>
      <c r="J60" s="30">
        <f>SUM(I60*F65)</f>
        <v>447.25506018045672</v>
      </c>
      <c r="K60" s="30">
        <f>SUM(H60+J60)</f>
        <v>147227.25506018047</v>
      </c>
    </row>
    <row r="61" spans="2:11">
      <c r="B61" s="12"/>
      <c r="C61" s="16" t="s">
        <v>90</v>
      </c>
      <c r="D61" s="7">
        <v>25916</v>
      </c>
      <c r="E61" s="7">
        <v>26580</v>
      </c>
      <c r="F61" s="8">
        <f t="shared" si="0"/>
        <v>52496</v>
      </c>
      <c r="H61" s="31"/>
      <c r="I61" s="31"/>
      <c r="J61" s="31"/>
      <c r="K61" s="31"/>
    </row>
    <row r="62" spans="2:11">
      <c r="B62" s="2" t="s">
        <v>66</v>
      </c>
      <c r="C62" s="15" t="s">
        <v>91</v>
      </c>
      <c r="D62" s="5">
        <v>24701</v>
      </c>
      <c r="E62" s="5">
        <v>25219</v>
      </c>
      <c r="F62" s="6">
        <f t="shared" si="0"/>
        <v>49920</v>
      </c>
      <c r="H62" s="31"/>
      <c r="I62" s="31"/>
      <c r="J62" s="31"/>
      <c r="K62" s="31"/>
    </row>
    <row r="63" spans="2:11">
      <c r="B63" s="2"/>
      <c r="C63" s="15" t="s">
        <v>92</v>
      </c>
      <c r="D63" s="5">
        <v>29957</v>
      </c>
      <c r="E63" s="5">
        <v>27958</v>
      </c>
      <c r="F63" s="6">
        <f t="shared" si="0"/>
        <v>57915</v>
      </c>
      <c r="H63" s="30">
        <f>SUM(F62:F64)</f>
        <v>154066</v>
      </c>
      <c r="I63" s="31">
        <f>SUM(H63/H66)</f>
        <v>0.2897878495479177</v>
      </c>
      <c r="J63" s="30">
        <f>SUM(I63*F65)</f>
        <v>469.45631626762668</v>
      </c>
      <c r="K63" s="30">
        <f>SUM(H63+J63)</f>
        <v>154535.45631626763</v>
      </c>
    </row>
    <row r="64" spans="2:11">
      <c r="B64" s="2"/>
      <c r="C64" s="15" t="s">
        <v>93</v>
      </c>
      <c r="D64" s="5">
        <v>23032</v>
      </c>
      <c r="E64" s="5">
        <v>23199</v>
      </c>
      <c r="F64" s="8">
        <f t="shared" si="0"/>
        <v>46231</v>
      </c>
      <c r="H64" s="31"/>
      <c r="I64" s="31"/>
      <c r="J64" s="31"/>
      <c r="K64" s="31"/>
    </row>
    <row r="65" spans="2:11">
      <c r="B65" s="32" t="s">
        <v>67</v>
      </c>
      <c r="C65" s="33" t="s">
        <v>68</v>
      </c>
      <c r="D65" s="34">
        <v>452</v>
      </c>
      <c r="E65" s="34">
        <v>1168</v>
      </c>
      <c r="F65" s="35">
        <f>D65+E65</f>
        <v>1620</v>
      </c>
      <c r="H65" s="31"/>
      <c r="I65" s="31"/>
      <c r="J65" s="31"/>
      <c r="K65" s="31"/>
    </row>
    <row r="66" spans="2:11" ht="13" thickBot="1">
      <c r="B66" s="3" t="s">
        <v>49</v>
      </c>
      <c r="C66" s="17"/>
      <c r="D66" s="9">
        <f>SUM(D7:D65)</f>
        <v>808408</v>
      </c>
      <c r="E66" s="9">
        <f>SUM(E7:E65)</f>
        <v>806676</v>
      </c>
      <c r="F66" s="10">
        <f>SUM(F7:F65)</f>
        <v>1615084</v>
      </c>
      <c r="H66" s="30">
        <f>SUM(H28+H60+H63)</f>
        <v>531651</v>
      </c>
      <c r="I66" s="36">
        <f>SUM(I28+I60+I63)</f>
        <v>1</v>
      </c>
      <c r="J66" s="37">
        <f>SUM(J28+J60+J63)</f>
        <v>1620</v>
      </c>
      <c r="K66" s="37">
        <f>SUM(K28+K60+K63)</f>
        <v>533271</v>
      </c>
    </row>
    <row r="68" spans="2:11">
      <c r="K68" s="30">
        <f>SUM(K9+K15+K19+K24+K28+K32+K36+K40+K47+K55+K60+K63)</f>
        <v>1615084</v>
      </c>
    </row>
    <row r="71" spans="2:11">
      <c r="B71" s="22" t="s">
        <v>101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Organisation</vt:lpstr>
      <vt:lpstr>Antal invånare</vt:lpstr>
      <vt:lpstr>Blad1</vt:lpstr>
    </vt:vector>
  </TitlesOfParts>
  <Company>Västra Götalandsregionen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ANNNO62</dc:creator>
  <cp:lastModifiedBy>Erik Bülow</cp:lastModifiedBy>
  <cp:lastPrinted>2014-10-13T11:59:07Z</cp:lastPrinted>
  <dcterms:created xsi:type="dcterms:W3CDTF">2008-03-07T07:25:15Z</dcterms:created>
  <dcterms:modified xsi:type="dcterms:W3CDTF">2014-12-17T07:56:39Z</dcterms:modified>
</cp:coreProperties>
</file>